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540" activeTab="3"/>
  </bookViews>
  <sheets>
    <sheet name="商品定位" sheetId="1" r:id="rId1"/>
    <sheet name="人口需求" sheetId="2" r:id="rId2"/>
    <sheet name="职业" sheetId="4" r:id="rId3"/>
    <sheet name="生活水平表格" sheetId="5" r:id="rId4"/>
  </sheets>
  <externalReferences>
    <externalReference r:id="rId5"/>
  </externalReferences>
  <calcPr calcId="144525"/>
</workbook>
</file>

<file path=xl/sharedStrings.xml><?xml version="1.0" encoding="utf-8"?>
<sst xmlns="http://schemas.openxmlformats.org/spreadsheetml/2006/main" count="345" uniqueCount="297">
  <si>
    <t>商品定位是被抽象出来的商品基本性质，会影响商品的基本数值。如果对商品有额外的需求，可以根据实际需要微调</t>
  </si>
  <si>
    <t>之所以需要商品定位，首先是处于设计的效率考虑，我们不可能直接去设计几十上百个商品，而是需要用一套普遍的模型推演出来</t>
  </si>
  <si>
    <t>其次是设计的统一性考虑，我们需要让商品被规范地设计，不然后面的生产方式、建筑、科技乃至职业也都不可能将具有设计的统一性</t>
  </si>
  <si>
    <t>商品定位</t>
  </si>
  <si>
    <t>一般定价</t>
  </si>
  <si>
    <t>说明</t>
  </si>
  <si>
    <t>初级农产品</t>
  </si>
  <si>
    <t>低</t>
  </si>
  <si>
    <t>这是案例</t>
  </si>
  <si>
    <t>我是分割线</t>
  </si>
  <si>
    <t>商品类别</t>
  </si>
  <si>
    <t>农产品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</si>
  <si>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</si>
  <si>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</si>
  <si>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</si>
  <si>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</si>
  <si>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</si>
  <si>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</si>
  <si>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</si>
  <si>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</si>
  <si>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</si>
  <si>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中级农产品</t>
  </si>
  <si>
    <t>高级农产品</t>
  </si>
  <si>
    <t>原材料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</si>
  <si>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</si>
  <si>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</si>
  <si>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</si>
  <si>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</si>
  <si>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</si>
  <si>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</si>
  <si>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</si>
  <si>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</si>
  <si>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初级原材料</t>
  </si>
  <si>
    <t>能源</t>
  </si>
  <si>
    <t>煤</t>
  </si>
  <si>
    <t>灵能水晶</t>
  </si>
  <si>
    <t>磁魔素</t>
  </si>
  <si>
    <t>泽洛</t>
  </si>
  <si>
    <t>中级原材料</t>
  </si>
  <si>
    <t>高级原材料</t>
  </si>
  <si>
    <t>消费品</t>
  </si>
  <si>
    <t>食品</t>
  </si>
  <si>
    <t>服务</t>
  </si>
  <si>
    <t>玻璃</t>
  </si>
  <si>
    <t>衣物</t>
  </si>
  <si>
    <t>家具</t>
  </si>
  <si>
    <t>烈酒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</si>
  <si>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</si>
  <si>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</si>
  <si>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</si>
  <si>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</si>
  <si>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</si>
  <si>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</si>
  <si>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</si>
  <si>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初级工业品</t>
  </si>
  <si>
    <t>工业品</t>
  </si>
  <si>
    <t>纸张</t>
  </si>
  <si>
    <t>快速帆船</t>
  </si>
  <si>
    <t>肥料</t>
  </si>
  <si>
    <t>钢铁</t>
  </si>
  <si>
    <t>秘银</t>
  </si>
  <si>
    <t>中级工业品</t>
  </si>
  <si>
    <t>高级工业品</t>
  </si>
  <si>
    <t>工具</t>
  </si>
  <si>
    <t>魔偶</t>
  </si>
  <si>
    <t>炸药</t>
  </si>
  <si>
    <t>科学引擎</t>
  </si>
  <si>
    <t>魔导引擎</t>
  </si>
  <si>
    <t>初级消费品</t>
  </si>
  <si>
    <t>军用品</t>
  </si>
  <si>
    <t>轻武器</t>
  </si>
  <si>
    <t>金属武器</t>
  </si>
  <si>
    <t>金属防具</t>
  </si>
  <si>
    <t>火炮</t>
  </si>
  <si>
    <t>法铳</t>
  </si>
  <si>
    <t>魔轨炮</t>
  </si>
  <si>
    <t>蒸汽飞行器</t>
  </si>
  <si>
    <t>魔能飞行器</t>
  </si>
  <si>
    <t>蒸汽机甲</t>
  </si>
  <si>
    <t>魔能机甲</t>
  </si>
  <si>
    <t>魔导机甲</t>
  </si>
  <si>
    <t>中级消费品</t>
  </si>
  <si>
    <t>高级消费品</t>
  </si>
  <si>
    <t>特殊商品</t>
  </si>
  <si>
    <t>建造</t>
  </si>
  <si>
    <t>交易</t>
  </si>
  <si>
    <t>运力</t>
  </si>
  <si>
    <t>初级工具</t>
  </si>
  <si>
    <t>中级工具</t>
  </si>
  <si>
    <t>高级工具</t>
  </si>
  <si>
    <t>初级军用品</t>
  </si>
  <si>
    <t>中级军用品</t>
  </si>
  <si>
    <t>高级军用品</t>
  </si>
  <si>
    <t>Pop_Needs</t>
  </si>
  <si>
    <t>good</t>
  </si>
  <si>
    <t>weight</t>
  </si>
  <si>
    <t>max_weight</t>
  </si>
  <si>
    <t>min_weight</t>
  </si>
  <si>
    <t>maxes_out</t>
  </si>
  <si>
    <t>substitutable</t>
  </si>
  <si>
    <t>Cost</t>
  </si>
  <si>
    <t>人口群的需求</t>
  </si>
  <si>
    <t>商品</t>
  </si>
  <si>
    <t>权重</t>
  </si>
  <si>
    <t>最大权重</t>
  </si>
  <si>
    <t>最小权重</t>
  </si>
  <si>
    <t>最大比例</t>
  </si>
  <si>
    <t>替代品</t>
  </si>
  <si>
    <t>花费</t>
  </si>
  <si>
    <t>需求消费</t>
  </si>
  <si>
    <t>simple_clothing</t>
  </si>
  <si>
    <t>fabric</t>
  </si>
  <si>
    <t>clothes</t>
  </si>
  <si>
    <t>crude_items</t>
  </si>
  <si>
    <t>wood</t>
  </si>
  <si>
    <t>furniture</t>
  </si>
  <si>
    <t>basic_food</t>
  </si>
  <si>
    <t>grain</t>
  </si>
  <si>
    <t>fish</t>
  </si>
  <si>
    <t>meat</t>
  </si>
  <si>
    <t>fruit</t>
  </si>
  <si>
    <t>groceries</t>
  </si>
  <si>
    <t>heating</t>
  </si>
  <si>
    <t>coal</t>
  </si>
  <si>
    <t>oil</t>
  </si>
  <si>
    <t>electricity</t>
  </si>
  <si>
    <t>household_items</t>
  </si>
  <si>
    <t>glass</t>
  </si>
  <si>
    <t>standard_clothing</t>
  </si>
  <si>
    <t>services</t>
  </si>
  <si>
    <t>intoxicants</t>
  </si>
  <si>
    <t>liquor</t>
  </si>
  <si>
    <t>tobacco</t>
  </si>
  <si>
    <t>opium</t>
  </si>
  <si>
    <t>luxury_drinks</t>
  </si>
  <si>
    <t>tea</t>
  </si>
  <si>
    <t>coffee</t>
  </si>
  <si>
    <t>wine</t>
  </si>
  <si>
    <t>free_movement</t>
  </si>
  <si>
    <t>transportation</t>
  </si>
  <si>
    <t>automobiles</t>
  </si>
  <si>
    <t>communication</t>
  </si>
  <si>
    <t>telephones</t>
  </si>
  <si>
    <t>luxury_food</t>
  </si>
  <si>
    <t>sugar</t>
  </si>
  <si>
    <t>luxury_items</t>
  </si>
  <si>
    <t>luxury_clothes</t>
  </si>
  <si>
    <t>luxury_furniture</t>
  </si>
  <si>
    <t>porcelain</t>
  </si>
  <si>
    <t>radios</t>
  </si>
  <si>
    <t>art</t>
  </si>
  <si>
    <t>fine_art</t>
  </si>
  <si>
    <t>第一列字段
必须是index</t>
  </si>
  <si>
    <t>便捷取色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</si>
  <si>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</si>
  <si>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</si>
  <si>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</si>
  <si>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</si>
  <si>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</si>
  <si>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</si>
  <si>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</si>
  <si>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</si>
  <si>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</si>
  <si>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</si>
  <si>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</si>
  <si>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</si>
  <si>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</si>
  <si>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</si>
  <si>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</si>
  <si>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</si>
  <si>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</si>
  <si>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</si>
  <si>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</si>
  <si>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</si>
  <si>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</si>
  <si>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</si>
  <si>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</si>
  <si>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wealth</t>
  </si>
  <si>
    <t>political_strength</t>
  </si>
  <si>
    <t>note_total_cost</t>
  </si>
  <si>
    <t>good,14,1</t>
  </si>
  <si>
    <t>财富等级</t>
  </si>
  <si>
    <t>政治力量</t>
  </si>
  <si>
    <t>总耗费</t>
  </si>
  <si>
    <t>商品需求</t>
  </si>
  <si>
    <t>简单衣物</t>
  </si>
  <si>
    <t>简单物品</t>
  </si>
  <si>
    <t>基础食物</t>
  </si>
  <si>
    <t>标准衣物</t>
  </si>
  <si>
    <t>家庭物品</t>
  </si>
  <si>
    <t>取暖</t>
  </si>
  <si>
    <t>饮品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</si>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</sst>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aj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1"/>
      <color theme="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sz val="14"/>
      <color rgb="FFFF0000"/>
      <name val="宋体"/>
      <charset val="134"/>
      <scheme val="minor"/>
    </font>
    <font>
      <sz val="14"/>
      <color theme="0"/>
      <name val="宋体"/>
      <charset val="134"/>
      <scheme val="maj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6" tint="0.6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4" tint="-0.25"/>
        <bgColor indexed="64"/>
      </patternFill>
    </fill>
    <fill>
      <patternFill patternType="solid">
        <fgColor theme="6" tint="-0.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8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2" borderId="10" applyNumberFormat="0" applyFon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2" fillId="0" borderId="11" applyNumberFormat="0" applyFill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17" fillId="0" borderId="12" applyNumberFormat="0" applyFill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23" fillId="26" borderId="13" applyNumberFormat="0" applyAlignment="0" applyProtection="0">
      <alignment vertical="center"/>
    </xf>
    <xf numFmtId="0" fontId="24" fillId="26" borderId="9" applyNumberFormat="0" applyAlignment="0" applyProtection="0">
      <alignment vertical="center"/>
    </xf>
    <xf numFmtId="0" fontId="25" fillId="27" borderId="14" applyNumberFormat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26" fillId="0" borderId="15" applyNumberFormat="0" applyFill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4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1" fillId="2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2" borderId="2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0" fillId="14" borderId="2" xfId="0" applyFont="1" applyFill="1" applyBorder="1" applyAlignment="1">
      <alignment horizontal="center" vertical="center"/>
    </xf>
    <xf numFmtId="0" fontId="0" fillId="15" borderId="2" xfId="0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17" borderId="1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0" fillId="0" borderId="0" xfId="0" applyFont="1" applyFill="1" applyAlignment="1">
      <alignment vertical="center"/>
    </xf>
    <xf numFmtId="0" fontId="0" fillId="7" borderId="5" xfId="0" applyFont="1" applyFill="1" applyBorder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left" vertical="center"/>
    </xf>
    <xf numFmtId="0" fontId="7" fillId="5" borderId="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8" fillId="0" borderId="0" xfId="0" applyFont="1" applyFill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7" fillId="5" borderId="5" xfId="0" applyFont="1" applyFill="1" applyBorder="1" applyAlignment="1">
      <alignment horizontal="center" vertical="center"/>
    </xf>
    <xf numFmtId="0" fontId="9" fillId="5" borderId="1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151</v>
          </cell>
        </row>
        <row r="5">
          <cell r="A5" t="str">
            <v>wealth_2</v>
          </cell>
          <cell r="B5">
            <v>0.04</v>
          </cell>
          <cell r="C5">
            <v>165</v>
          </cell>
        </row>
        <row r="6">
          <cell r="A6" t="str">
            <v>wealth_3</v>
          </cell>
          <cell r="B6">
            <v>0.05</v>
          </cell>
          <cell r="C6">
            <v>182</v>
          </cell>
        </row>
        <row r="7">
          <cell r="A7" t="str">
            <v>wealth_4</v>
          </cell>
          <cell r="B7">
            <v>0.1</v>
          </cell>
          <cell r="C7">
            <v>200</v>
          </cell>
        </row>
        <row r="8">
          <cell r="A8" t="str">
            <v>wealth_5</v>
          </cell>
          <cell r="B8">
            <v>0.15</v>
          </cell>
          <cell r="C8">
            <v>221</v>
          </cell>
        </row>
        <row r="9">
          <cell r="A9" t="str">
            <v>wealth_6</v>
          </cell>
          <cell r="B9">
            <v>0.25</v>
          </cell>
          <cell r="C9">
            <v>241</v>
          </cell>
        </row>
        <row r="10">
          <cell r="A10" t="str">
            <v>wealth_7</v>
          </cell>
          <cell r="B10">
            <v>0.35</v>
          </cell>
          <cell r="C10">
            <v>263</v>
          </cell>
        </row>
        <row r="11">
          <cell r="A11" t="str">
            <v>wealth_8</v>
          </cell>
          <cell r="B11">
            <v>0.45</v>
          </cell>
          <cell r="C11">
            <v>288</v>
          </cell>
        </row>
        <row r="12">
          <cell r="A12" t="str">
            <v>wealth_9</v>
          </cell>
          <cell r="B12">
            <v>0.6</v>
          </cell>
          <cell r="C12">
            <v>305</v>
          </cell>
        </row>
        <row r="13">
          <cell r="A13" t="str">
            <v>wealth_10</v>
          </cell>
          <cell r="B13">
            <v>0.75</v>
          </cell>
          <cell r="C13">
            <v>354</v>
          </cell>
        </row>
        <row r="14">
          <cell r="A14" t="str">
            <v>wealth_11</v>
          </cell>
          <cell r="B14">
            <v>0.9</v>
          </cell>
          <cell r="C14">
            <v>389</v>
          </cell>
        </row>
        <row r="15">
          <cell r="A15" t="str">
            <v>wealth_12</v>
          </cell>
          <cell r="B15">
            <v>1.4</v>
          </cell>
          <cell r="C15">
            <v>428</v>
          </cell>
        </row>
        <row r="16">
          <cell r="A16" t="str">
            <v>wealth_13</v>
          </cell>
          <cell r="B16">
            <v>1.9</v>
          </cell>
          <cell r="C16">
            <v>468</v>
          </cell>
        </row>
        <row r="17">
          <cell r="A17" t="str">
            <v>wealth_14</v>
          </cell>
          <cell r="B17">
            <v>2.4</v>
          </cell>
          <cell r="C17">
            <v>516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S77"/>
  <sheetViews>
    <sheetView showGridLines="0" zoomScale="90" zoomScaleNormal="90" workbookViewId="0">
      <selection activeCell="B20" sqref="B20"/>
    </sheetView>
  </sheetViews>
  <sheetFormatPr defaultColWidth="9" defaultRowHeight="19.95" customHeight="1"/>
  <cols>
    <col min="1" max="1" width="18" style="44" customWidth="1"/>
    <col min="2" max="2" width="12.2166666666667" style="43" customWidth="1"/>
    <col min="3" max="3" width="14.1583333333333" style="44" customWidth="1"/>
    <col min="4" max="4" width="18.5583333333333" style="43" customWidth="1"/>
    <col min="5" max="19" width="10.55" style="43" customWidth="1"/>
    <col min="20" max="16384" width="9" style="43"/>
  </cols>
  <sheetData>
    <row r="1" s="43" customFormat="1" customHeight="1" spans="1:3">
      <c r="A1" s="45" t="s">
        <v>0</v>
      </c>
      <c r="C1" s="44"/>
    </row>
    <row r="2" s="43" customFormat="1" customHeight="1" spans="1:3">
      <c r="A2" s="45" t="s">
        <v>1</v>
      </c>
      <c r="C2" s="44"/>
    </row>
    <row r="3" s="43" customFormat="1" customHeight="1" spans="1:3">
      <c r="A3" s="45" t="s">
        <v>2</v>
      </c>
      <c r="C3" s="44"/>
    </row>
    <row r="4" s="43" customFormat="1" customHeight="1" spans="1:4">
      <c r="A4" s="46" t="s">
        <v>3</v>
      </c>
      <c r="B4" s="46" t="s">
        <v>4</v>
      </c>
      <c r="C4" s="46" t="s">
        <v>5</v>
      </c>
      <c r="D4" s="47"/>
    </row>
    <row r="5" s="43" customFormat="1" customHeight="1" spans="1:3">
      <c r="A5" s="44" t="s">
        <v>6</v>
      </c>
      <c r="B5" s="44" t="s">
        <v>7</v>
      </c>
      <c r="C5" s="48" t="s">
        <v>8</v>
      </c>
    </row>
    <row r="6" s="43" customFormat="1" customHeight="1" spans="1:4">
      <c r="A6" s="49" t="s">
        <v>9</v>
      </c>
      <c r="B6" s="50"/>
      <c r="C6" s="49"/>
      <c r="D6" s="51"/>
    </row>
    <row r="7" s="43" customFormat="1" customHeight="1" spans="1:19">
      <c r="A7" s="46" t="s">
        <v>3</v>
      </c>
      <c r="B7" s="46" t="s">
        <v>4</v>
      </c>
      <c r="C7" s="52" t="s">
        <v>5</v>
      </c>
      <c r="E7" s="53" t="s">
        <v>10</v>
      </c>
      <c r="F7" s="53">
        <v>1</v>
      </c>
      <c r="G7" s="53">
        <v>2</v>
      </c>
      <c r="H7" s="53">
        <v>3</v>
      </c>
      <c r="I7" s="53">
        <v>4</v>
      </c>
      <c r="J7" s="53">
        <v>5</v>
      </c>
      <c r="K7" s="53">
        <v>6</v>
      </c>
      <c r="L7" s="53">
        <v>7</v>
      </c>
      <c r="M7" s="53">
        <v>8</v>
      </c>
      <c r="N7" s="53">
        <v>9</v>
      </c>
      <c r="O7" s="53">
        <v>10</v>
      </c>
      <c r="P7" s="53">
        <v>11</v>
      </c>
      <c r="Q7" s="53">
        <v>12</v>
      </c>
      <c r="R7" s="53">
        <v>13</v>
      </c>
      <c r="S7" s="54"/>
    </row>
    <row r="8" s="43" customFormat="1" customHeight="1" spans="1:19">
      <c r="A8" s="44" t="s">
        <v>6</v>
      </c>
      <c r="B8" s="43">
        <v>20</v>
      </c>
      <c r="C8" s="44"/>
      <c r="E8" s="54" t="s">
        <v>11</v>
      </c>
      <c r="F8" s="55" t="s">
        <v>12</v>
      </c>
      <c r="G8" s="55" t="s">
        <v>13</v>
      </c>
      <c r="H8" s="55" t="s">
        <v>14</v>
      </c>
      <c r="I8" s="55" t="s">
        <v>15</v>
      </c>
      <c r="J8" s="55" t="s">
        <v>16</v>
      </c>
      <c r="K8" s="55" t="s">
        <v>17</v>
      </c>
      <c r="L8" s="55" t="s">
        <v>18</v>
      </c>
      <c r="M8" s="55" t="s">
        <v>19</v>
      </c>
      <c r="N8" s="55" t="s">
        <v>20</v>
      </c>
      <c r="S8" s="58"/>
    </row>
    <row r="9" s="43" customFormat="1" customHeight="1" spans="1:19">
      <c r="A9" s="44" t="s">
        <v>21</v>
      </c>
      <c r="B9" s="43">
        <v>40</v>
      </c>
      <c r="C9" s="44"/>
      <c r="E9" s="56"/>
      <c r="F9" s="57">
        <v>20</v>
      </c>
      <c r="G9" s="57">
        <v>20</v>
      </c>
      <c r="H9" s="57">
        <v>40</v>
      </c>
      <c r="I9" s="57">
        <v>40</v>
      </c>
      <c r="J9" s="57">
        <v>40</v>
      </c>
      <c r="K9" s="57">
        <v>60</v>
      </c>
      <c r="L9" s="57">
        <v>60</v>
      </c>
      <c r="M9" s="57">
        <v>60</v>
      </c>
      <c r="N9" s="57">
        <v>60</v>
      </c>
      <c r="S9" s="58"/>
    </row>
    <row r="10" s="43" customFormat="1" customHeight="1" spans="1:19">
      <c r="A10" s="44" t="s">
        <v>22</v>
      </c>
      <c r="B10" s="43">
        <v>60</v>
      </c>
      <c r="C10" s="44"/>
      <c r="E10" s="54" t="s">
        <v>23</v>
      </c>
      <c r="F10" s="55" t="s">
        <v>24</v>
      </c>
      <c r="G10" s="55" t="s">
        <v>25</v>
      </c>
      <c r="H10" s="55" t="s">
        <v>26</v>
      </c>
      <c r="I10" s="55" t="s">
        <v>27</v>
      </c>
      <c r="J10" s="55" t="s">
        <v>28</v>
      </c>
      <c r="K10" s="55" t="s">
        <v>29</v>
      </c>
      <c r="L10" s="55" t="s">
        <v>30</v>
      </c>
      <c r="M10" s="55" t="s">
        <v>31</v>
      </c>
      <c r="S10" s="58"/>
    </row>
    <row r="11" s="43" customFormat="1" customHeight="1" spans="1:19">
      <c r="A11" s="44"/>
      <c r="C11" s="44"/>
      <c r="E11" s="56"/>
      <c r="F11" s="57">
        <v>20</v>
      </c>
      <c r="G11" s="57">
        <v>20</v>
      </c>
      <c r="H11" s="57">
        <v>20</v>
      </c>
      <c r="I11" s="57">
        <v>40</v>
      </c>
      <c r="J11" s="57">
        <v>40</v>
      </c>
      <c r="K11" s="57">
        <v>40</v>
      </c>
      <c r="L11" s="57">
        <v>60</v>
      </c>
      <c r="M11" s="57">
        <v>60</v>
      </c>
      <c r="S11" s="58"/>
    </row>
    <row r="12" s="43" customFormat="1" customHeight="1" spans="1:19">
      <c r="A12" s="44" t="s">
        <v>32</v>
      </c>
      <c r="B12" s="43">
        <v>20</v>
      </c>
      <c r="C12" s="44"/>
      <c r="E12" s="54" t="s">
        <v>33</v>
      </c>
      <c r="F12" s="55" t="s">
        <v>34</v>
      </c>
      <c r="G12" s="55" t="s">
        <v>35</v>
      </c>
      <c r="H12" s="55" t="s">
        <v>36</v>
      </c>
      <c r="I12" s="55" t="s">
        <v>37</v>
      </c>
      <c r="J12" s="44"/>
      <c r="K12" s="44"/>
      <c r="S12" s="58"/>
    </row>
    <row r="13" s="43" customFormat="1" customHeight="1" spans="1:19">
      <c r="A13" s="44" t="s">
        <v>38</v>
      </c>
      <c r="B13" s="43">
        <v>40</v>
      </c>
      <c r="C13" s="44"/>
      <c r="E13" s="56"/>
      <c r="F13" s="57">
        <v>30</v>
      </c>
      <c r="G13" s="57">
        <v>30</v>
      </c>
      <c r="H13" s="57">
        <v>50</v>
      </c>
      <c r="I13" s="57">
        <v>50</v>
      </c>
      <c r="J13" s="44"/>
      <c r="K13" s="44"/>
      <c r="S13" s="58"/>
    </row>
    <row r="14" s="43" customFormat="1" customHeight="1" spans="1:19">
      <c r="A14" s="44" t="s">
        <v>39</v>
      </c>
      <c r="B14" s="43">
        <v>60</v>
      </c>
      <c r="C14" s="44"/>
      <c r="E14" s="54" t="s">
        <v>40</v>
      </c>
      <c r="F14" s="55" t="s">
        <v>41</v>
      </c>
      <c r="G14" s="55" t="s">
        <v>42</v>
      </c>
      <c r="H14" s="55" t="s">
        <v>43</v>
      </c>
      <c r="I14" s="55" t="s">
        <v>44</v>
      </c>
      <c r="J14" s="55" t="s">
        <v>45</v>
      </c>
      <c r="K14" s="55" t="s">
        <v>46</v>
      </c>
      <c r="L14" s="55" t="s">
        <v>47</v>
      </c>
      <c r="M14" s="55" t="s">
        <v>48</v>
      </c>
      <c r="N14" s="55" t="s">
        <v>49</v>
      </c>
      <c r="O14" s="55" t="s">
        <v>50</v>
      </c>
      <c r="P14" s="55" t="s">
        <v>51</v>
      </c>
      <c r="Q14" s="55" t="s">
        <v>52</v>
      </c>
      <c r="R14" s="55" t="s">
        <v>53</v>
      </c>
      <c r="S14" s="58"/>
    </row>
    <row r="15" s="43" customFormat="1" customHeight="1" spans="1:19">
      <c r="A15" s="44"/>
      <c r="C15" s="44"/>
      <c r="E15" s="56"/>
      <c r="F15" s="57">
        <v>30</v>
      </c>
      <c r="G15" s="57">
        <v>30</v>
      </c>
      <c r="H15" s="57">
        <v>30</v>
      </c>
      <c r="I15" s="57">
        <v>30</v>
      </c>
      <c r="J15" s="57">
        <v>30</v>
      </c>
      <c r="K15" s="57">
        <v>30</v>
      </c>
      <c r="L15" s="57">
        <v>50</v>
      </c>
      <c r="M15" s="57">
        <v>50</v>
      </c>
      <c r="N15" s="57">
        <v>50</v>
      </c>
      <c r="O15" s="57">
        <v>50</v>
      </c>
      <c r="P15" s="57">
        <v>70</v>
      </c>
      <c r="Q15" s="57">
        <v>70</v>
      </c>
      <c r="R15" s="57">
        <v>70</v>
      </c>
      <c r="S15" s="58"/>
    </row>
    <row r="16" s="43" customFormat="1" customHeight="1" spans="1:19">
      <c r="A16" s="44" t="s">
        <v>54</v>
      </c>
      <c r="B16" s="43">
        <v>40</v>
      </c>
      <c r="C16" s="44"/>
      <c r="E16" s="54" t="s">
        <v>55</v>
      </c>
      <c r="F16" s="55" t="s">
        <v>56</v>
      </c>
      <c r="G16" s="55" t="s">
        <v>57</v>
      </c>
      <c r="H16" s="55" t="s">
        <v>58</v>
      </c>
      <c r="I16" s="55" t="s">
        <v>59</v>
      </c>
      <c r="J16" s="55" t="s">
        <v>60</v>
      </c>
      <c r="K16" s="44"/>
      <c r="S16" s="58"/>
    </row>
    <row r="17" s="43" customFormat="1" customHeight="1" spans="1:19">
      <c r="A17" s="44" t="s">
        <v>61</v>
      </c>
      <c r="B17" s="43">
        <v>60</v>
      </c>
      <c r="C17" s="44"/>
      <c r="E17" s="56"/>
      <c r="F17" s="57">
        <v>40</v>
      </c>
      <c r="G17" s="57">
        <v>40</v>
      </c>
      <c r="H17" s="57">
        <v>60</v>
      </c>
      <c r="I17" s="57">
        <v>60</v>
      </c>
      <c r="J17" s="57">
        <v>80</v>
      </c>
      <c r="K17" s="44"/>
      <c r="S17" s="58"/>
    </row>
    <row r="18" s="43" customFormat="1" customHeight="1" spans="1:19">
      <c r="A18" s="44" t="s">
        <v>62</v>
      </c>
      <c r="B18" s="43">
        <v>80</v>
      </c>
      <c r="C18" s="44"/>
      <c r="E18" s="54" t="s">
        <v>63</v>
      </c>
      <c r="F18" s="55" t="s">
        <v>63</v>
      </c>
      <c r="G18" s="55" t="s">
        <v>64</v>
      </c>
      <c r="H18" s="55" t="s">
        <v>65</v>
      </c>
      <c r="I18" s="55" t="s">
        <v>66</v>
      </c>
      <c r="J18" s="55" t="s">
        <v>67</v>
      </c>
      <c r="S18" s="58"/>
    </row>
    <row r="19" s="43" customFormat="1" customHeight="1" spans="1:19">
      <c r="A19" s="44"/>
      <c r="C19" s="44"/>
      <c r="E19" s="56"/>
      <c r="F19" s="57">
        <v>40</v>
      </c>
      <c r="G19" s="57">
        <v>40</v>
      </c>
      <c r="H19" s="57">
        <v>60</v>
      </c>
      <c r="I19" s="57">
        <v>80</v>
      </c>
      <c r="J19" s="57">
        <v>80</v>
      </c>
      <c r="S19" s="58"/>
    </row>
    <row r="20" s="43" customFormat="1" customHeight="1" spans="1:19">
      <c r="A20" s="44" t="s">
        <v>68</v>
      </c>
      <c r="B20" s="43">
        <v>30</v>
      </c>
      <c r="C20" s="44"/>
      <c r="E20" s="54" t="s">
        <v>69</v>
      </c>
      <c r="F20" s="55" t="s">
        <v>70</v>
      </c>
      <c r="G20" s="55" t="s">
        <v>71</v>
      </c>
      <c r="H20" s="55" t="s">
        <v>72</v>
      </c>
      <c r="I20" s="55" t="s">
        <v>73</v>
      </c>
      <c r="J20" s="55" t="s">
        <v>74</v>
      </c>
      <c r="K20" s="55" t="s">
        <v>75</v>
      </c>
      <c r="L20" s="55" t="s">
        <v>76</v>
      </c>
      <c r="M20" s="55" t="s">
        <v>77</v>
      </c>
      <c r="N20" s="55" t="s">
        <v>78</v>
      </c>
      <c r="O20" s="55" t="s">
        <v>79</v>
      </c>
      <c r="P20" s="55" t="s">
        <v>80</v>
      </c>
      <c r="S20" s="58"/>
    </row>
    <row r="21" s="43" customFormat="1" customHeight="1" spans="1:19">
      <c r="A21" s="44" t="s">
        <v>81</v>
      </c>
      <c r="B21" s="43">
        <v>50</v>
      </c>
      <c r="C21" s="44"/>
      <c r="E21" s="56"/>
      <c r="F21" s="57">
        <v>60</v>
      </c>
      <c r="G21" s="57">
        <v>60</v>
      </c>
      <c r="H21" s="57">
        <v>60</v>
      </c>
      <c r="I21" s="57">
        <v>80</v>
      </c>
      <c r="J21" s="57">
        <v>80</v>
      </c>
      <c r="K21" s="57">
        <v>80</v>
      </c>
      <c r="L21" s="57">
        <v>80</v>
      </c>
      <c r="M21" s="57">
        <v>80</v>
      </c>
      <c r="N21" s="57">
        <v>100</v>
      </c>
      <c r="O21" s="57">
        <v>100</v>
      </c>
      <c r="P21" s="57">
        <v>100</v>
      </c>
      <c r="S21" s="58"/>
    </row>
    <row r="22" s="43" customFormat="1" customHeight="1" spans="1:19">
      <c r="A22" s="44" t="s">
        <v>82</v>
      </c>
      <c r="B22" s="43">
        <v>70</v>
      </c>
      <c r="C22" s="44"/>
      <c r="E22" s="54" t="s">
        <v>83</v>
      </c>
      <c r="F22" s="55" t="s">
        <v>84</v>
      </c>
      <c r="G22" s="55" t="s">
        <v>85</v>
      </c>
      <c r="H22" s="55" t="s">
        <v>86</v>
      </c>
      <c r="I22" s="44"/>
      <c r="J22" s="44"/>
      <c r="K22" s="44"/>
      <c r="S22" s="58"/>
    </row>
    <row r="23" s="43" customFormat="1" customHeight="1" spans="1:19">
      <c r="A23" s="44"/>
      <c r="C23" s="44"/>
      <c r="E23" s="56"/>
      <c r="F23" s="57">
        <v>10</v>
      </c>
      <c r="G23" s="57">
        <v>10</v>
      </c>
      <c r="H23" s="57">
        <v>10</v>
      </c>
      <c r="I23" s="44"/>
      <c r="J23" s="44"/>
      <c r="K23" s="44"/>
      <c r="S23" s="58"/>
    </row>
    <row r="24" s="43" customFormat="1" customHeight="1" spans="1:19">
      <c r="A24" s="44" t="s">
        <v>87</v>
      </c>
      <c r="B24" s="43">
        <v>40</v>
      </c>
      <c r="C24" s="44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6"/>
    </row>
    <row r="25" s="43" customFormat="1" customHeight="1" spans="1:3">
      <c r="A25" s="44" t="s">
        <v>88</v>
      </c>
      <c r="B25" s="43">
        <v>60</v>
      </c>
      <c r="C25" s="44"/>
    </row>
    <row r="26" s="43" customFormat="1" customHeight="1" spans="1:3">
      <c r="A26" s="44" t="s">
        <v>89</v>
      </c>
      <c r="B26" s="43">
        <v>80</v>
      </c>
      <c r="C26" s="44"/>
    </row>
    <row r="27" s="43" customFormat="1" customHeight="1" spans="1:3">
      <c r="A27" s="44"/>
      <c r="C27" s="44"/>
    </row>
    <row r="28" s="43" customFormat="1" customHeight="1" spans="1:3">
      <c r="A28" s="44" t="s">
        <v>90</v>
      </c>
      <c r="B28" s="43">
        <v>60</v>
      </c>
      <c r="C28" s="44"/>
    </row>
    <row r="29" s="43" customFormat="1" customHeight="1" spans="1:3">
      <c r="A29" s="44" t="s">
        <v>91</v>
      </c>
      <c r="B29" s="43">
        <v>80</v>
      </c>
      <c r="C29" s="44"/>
    </row>
    <row r="30" s="43" customFormat="1" customHeight="1" spans="1:3">
      <c r="A30" s="44" t="s">
        <v>92</v>
      </c>
      <c r="B30" s="43">
        <v>100</v>
      </c>
      <c r="C30" s="44"/>
    </row>
    <row r="31" s="43" customFormat="1" customHeight="1"/>
    <row r="32" s="43" customFormat="1" customHeight="1" spans="1:3">
      <c r="A32" s="44" t="s">
        <v>33</v>
      </c>
      <c r="B32" s="43">
        <v>30</v>
      </c>
      <c r="C32" s="44"/>
    </row>
    <row r="33" s="43" customFormat="1" customHeight="1"/>
    <row r="34" s="43" customFormat="1" customHeight="1" spans="1:7">
      <c r="A34"/>
      <c r="B34"/>
      <c r="C34"/>
      <c r="D34"/>
      <c r="E34"/>
      <c r="F34"/>
      <c r="G34"/>
    </row>
    <row r="35" s="43" customFormat="1" customHeight="1" spans="1:7">
      <c r="A35"/>
      <c r="B35"/>
      <c r="C35"/>
      <c r="D35"/>
      <c r="E35"/>
      <c r="F35"/>
      <c r="G35"/>
    </row>
    <row r="36" s="43" customFormat="1" customHeight="1" spans="1:7">
      <c r="A36"/>
      <c r="B36"/>
      <c r="C36"/>
      <c r="D36"/>
      <c r="E36"/>
      <c r="F36"/>
      <c r="G36"/>
    </row>
    <row r="37" s="43" customFormat="1" customHeight="1" spans="1:7">
      <c r="A37"/>
      <c r="B37"/>
      <c r="C37"/>
      <c r="D37"/>
      <c r="E37"/>
      <c r="F37"/>
      <c r="G37"/>
    </row>
    <row r="38" s="43" customFormat="1" customHeight="1" spans="1:7">
      <c r="A38"/>
      <c r="B38"/>
      <c r="C38"/>
      <c r="D38"/>
      <c r="E38"/>
      <c r="F38"/>
      <c r="G38"/>
    </row>
    <row r="39" s="43" customFormat="1" customHeight="1" spans="1:7">
      <c r="A39"/>
      <c r="B39"/>
      <c r="C39"/>
      <c r="D39"/>
      <c r="E39"/>
      <c r="F39"/>
      <c r="G39"/>
    </row>
    <row r="40" s="43" customFormat="1" customHeight="1" spans="1:7">
      <c r="A40"/>
      <c r="B40"/>
      <c r="C40"/>
      <c r="D40"/>
      <c r="E40"/>
      <c r="F40"/>
      <c r="G40"/>
    </row>
    <row r="41" s="43" customFormat="1" customHeight="1" spans="1:7">
      <c r="A41"/>
      <c r="B41"/>
      <c r="C41"/>
      <c r="D41"/>
      <c r="E41"/>
      <c r="F41"/>
      <c r="G41"/>
    </row>
    <row r="42" s="43" customFormat="1" customHeight="1" spans="1:7">
      <c r="A42"/>
      <c r="B42"/>
      <c r="C42"/>
      <c r="D42"/>
      <c r="E42"/>
      <c r="F42"/>
      <c r="G42"/>
    </row>
    <row r="43" s="43" customFormat="1" customHeight="1" spans="1:7">
      <c r="A43"/>
      <c r="B43"/>
      <c r="C43"/>
      <c r="D43"/>
      <c r="E43"/>
      <c r="F43"/>
      <c r="G43"/>
    </row>
    <row r="44" s="43" customFormat="1" customHeight="1" spans="1:7">
      <c r="A44"/>
      <c r="B44"/>
      <c r="C44"/>
      <c r="D44"/>
      <c r="E44"/>
      <c r="F44"/>
      <c r="G44"/>
    </row>
    <row r="45" s="43" customFormat="1" customHeight="1" spans="1:7">
      <c r="A45"/>
      <c r="B45"/>
      <c r="C45"/>
      <c r="D45"/>
      <c r="E45"/>
      <c r="F45"/>
      <c r="G45"/>
    </row>
    <row r="46" s="43" customFormat="1" customHeight="1" spans="1:7">
      <c r="A46"/>
      <c r="B46"/>
      <c r="C46"/>
      <c r="D46"/>
      <c r="E46"/>
      <c r="F46"/>
      <c r="G46"/>
    </row>
    <row r="47" s="43" customFormat="1" customHeight="1" spans="1:7">
      <c r="A47"/>
      <c r="B47"/>
      <c r="C47"/>
      <c r="D47"/>
      <c r="E47"/>
      <c r="F47"/>
      <c r="G47"/>
    </row>
    <row r="48" s="43" customFormat="1" customHeight="1" spans="1:7">
      <c r="A48"/>
      <c r="B48"/>
      <c r="C48"/>
      <c r="D48"/>
      <c r="E48"/>
      <c r="F48"/>
      <c r="G48"/>
    </row>
    <row r="49" s="43" customFormat="1" customHeight="1" spans="1:7">
      <c r="A49"/>
      <c r="B49"/>
      <c r="C49"/>
      <c r="D49"/>
      <c r="E49"/>
      <c r="F49"/>
      <c r="G49"/>
    </row>
    <row r="50" s="43" customFormat="1" customHeight="1" spans="1:7">
      <c r="A50"/>
      <c r="B50"/>
      <c r="C50"/>
      <c r="D50"/>
      <c r="E50"/>
      <c r="F50"/>
      <c r="G50"/>
    </row>
    <row r="51" s="43" customFormat="1" customHeight="1" spans="1:7">
      <c r="A51"/>
      <c r="B51"/>
      <c r="C51"/>
      <c r="D51"/>
      <c r="E51"/>
      <c r="F51"/>
      <c r="G51"/>
    </row>
    <row r="52" s="43" customFormat="1" customHeight="1" spans="1:7">
      <c r="A52"/>
      <c r="B52"/>
      <c r="C52"/>
      <c r="D52"/>
      <c r="E52"/>
      <c r="F52"/>
      <c r="G52"/>
    </row>
    <row r="53" s="43" customFormat="1" customHeight="1" spans="1:7">
      <c r="A53"/>
      <c r="B53"/>
      <c r="C53"/>
      <c r="D53"/>
      <c r="E53"/>
      <c r="F53"/>
      <c r="G53"/>
    </row>
    <row r="54" s="43" customFormat="1" customHeight="1" spans="1:7">
      <c r="A54"/>
      <c r="B54"/>
      <c r="C54"/>
      <c r="D54"/>
      <c r="E54"/>
      <c r="F54"/>
      <c r="G54"/>
    </row>
    <row r="55" s="43" customFormat="1" customHeight="1" spans="1:7">
      <c r="A55"/>
      <c r="B55"/>
      <c r="C55"/>
      <c r="D55"/>
      <c r="E55"/>
      <c r="F55"/>
      <c r="G55"/>
    </row>
    <row r="56" s="43" customFormat="1" customHeight="1" spans="1:7">
      <c r="A56"/>
      <c r="B56"/>
      <c r="C56"/>
      <c r="D56"/>
      <c r="E56"/>
      <c r="F56"/>
      <c r="G56"/>
    </row>
    <row r="57" s="43" customFormat="1" customHeight="1" spans="1:7">
      <c r="A57"/>
      <c r="B57"/>
      <c r="C57"/>
      <c r="D57"/>
      <c r="E57"/>
      <c r="F57"/>
      <c r="G57"/>
    </row>
    <row r="58" s="43" customFormat="1" customHeight="1" spans="1:7">
      <c r="A58"/>
      <c r="B58"/>
      <c r="C58"/>
      <c r="D58"/>
      <c r="E58"/>
      <c r="F58"/>
      <c r="G58"/>
    </row>
    <row r="59" s="43" customFormat="1" customHeight="1" spans="1:7">
      <c r="A59"/>
      <c r="B59"/>
      <c r="C59"/>
      <c r="D59"/>
      <c r="E59"/>
      <c r="F59"/>
      <c r="G59"/>
    </row>
    <row r="60" s="43" customFormat="1" customHeight="1" spans="1:7">
      <c r="A60"/>
      <c r="B60"/>
      <c r="C60"/>
      <c r="D60"/>
      <c r="E60"/>
      <c r="F60"/>
      <c r="G60"/>
    </row>
    <row r="61" s="43" customFormat="1" customHeight="1" spans="1:7">
      <c r="A61"/>
      <c r="B61"/>
      <c r="C61"/>
      <c r="D61"/>
      <c r="E61"/>
      <c r="F61"/>
      <c r="G61"/>
    </row>
    <row r="62" s="43" customFormat="1" customHeight="1" spans="1:7">
      <c r="A62"/>
      <c r="B62"/>
      <c r="C62"/>
      <c r="D62"/>
      <c r="E62"/>
      <c r="F62"/>
      <c r="G62"/>
    </row>
    <row r="63" s="43" customFormat="1" customHeight="1" spans="1:7">
      <c r="A63"/>
      <c r="B63"/>
      <c r="C63"/>
      <c r="D63"/>
      <c r="E63"/>
      <c r="F63"/>
      <c r="G63"/>
    </row>
    <row r="64" s="43" customFormat="1" customHeight="1" spans="1:7">
      <c r="A64"/>
      <c r="B64"/>
      <c r="C64"/>
      <c r="D64"/>
      <c r="E64"/>
      <c r="F64"/>
      <c r="G64"/>
    </row>
    <row r="65" s="43" customFormat="1" customHeight="1" spans="1:7">
      <c r="A65"/>
      <c r="B65"/>
      <c r="C65"/>
      <c r="D65"/>
      <c r="E65"/>
      <c r="F65"/>
      <c r="G65"/>
    </row>
    <row r="66" s="43" customFormat="1" customHeight="1" spans="1:7">
      <c r="A66"/>
      <c r="B66"/>
      <c r="C66"/>
      <c r="D66"/>
      <c r="E66"/>
      <c r="F66"/>
      <c r="G66"/>
    </row>
    <row r="67" s="43" customFormat="1" customHeight="1" spans="1:7">
      <c r="A67"/>
      <c r="B67"/>
      <c r="C67"/>
      <c r="D67"/>
      <c r="E67"/>
      <c r="F67"/>
      <c r="G67"/>
    </row>
    <row r="68" s="43" customFormat="1" customHeight="1" spans="1:7">
      <c r="A68"/>
      <c r="B68"/>
      <c r="C68"/>
      <c r="D68"/>
      <c r="E68"/>
      <c r="F68"/>
      <c r="G68"/>
    </row>
    <row r="69" s="43" customFormat="1" customHeight="1" spans="1:7">
      <c r="A69"/>
      <c r="B69"/>
      <c r="C69"/>
      <c r="D69"/>
      <c r="E69"/>
      <c r="F69"/>
      <c r="G69"/>
    </row>
    <row r="70" s="43" customFormat="1" customHeight="1" spans="1:7">
      <c r="A70"/>
      <c r="B70"/>
      <c r="C70"/>
      <c r="D70"/>
      <c r="E70"/>
      <c r="F70"/>
      <c r="G70"/>
    </row>
    <row r="71" s="43" customFormat="1" customHeight="1" spans="1:7">
      <c r="A71"/>
      <c r="B71"/>
      <c r="C71"/>
      <c r="D71"/>
      <c r="E71"/>
      <c r="F71"/>
      <c r="G71"/>
    </row>
    <row r="72" s="43" customFormat="1" customHeight="1" spans="1:7">
      <c r="A72"/>
      <c r="B72"/>
      <c r="C72"/>
      <c r="D72"/>
      <c r="E72"/>
      <c r="F72"/>
      <c r="G72"/>
    </row>
    <row r="73" s="43" customFormat="1" customHeight="1" spans="1:7">
      <c r="A73"/>
      <c r="B73"/>
      <c r="C73"/>
      <c r="D73"/>
      <c r="E73"/>
      <c r="F73"/>
      <c r="G73"/>
    </row>
    <row r="74" s="43" customFormat="1" customHeight="1" spans="1:7">
      <c r="A74"/>
      <c r="B74"/>
      <c r="C74"/>
      <c r="D74"/>
      <c r="E74"/>
      <c r="F74"/>
      <c r="G74"/>
    </row>
    <row r="75" s="43" customFormat="1" customHeight="1" spans="1:7">
      <c r="A75"/>
      <c r="B75"/>
      <c r="C75"/>
      <c r="D75"/>
      <c r="E75"/>
      <c r="F75"/>
      <c r="G75"/>
    </row>
    <row r="76" s="43" customFormat="1" customHeight="1"/>
    <row r="77" s="43" customFormat="1" customHeight="1"/>
  </sheetData>
  <mergeCells count="10">
    <mergeCell ref="A6:C6"/>
    <mergeCell ref="E8:E9"/>
    <mergeCell ref="E10:E11"/>
    <mergeCell ref="E12:E13"/>
    <mergeCell ref="E14:E15"/>
    <mergeCell ref="E16:E17"/>
    <mergeCell ref="E18:E19"/>
    <mergeCell ref="E20:E21"/>
    <mergeCell ref="E22:E23"/>
    <mergeCell ref="S7:S24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I42"/>
  <sheetViews>
    <sheetView showGridLines="0" workbookViewId="0">
      <selection activeCell="C12" sqref="C12"/>
    </sheetView>
  </sheetViews>
  <sheetFormatPr defaultColWidth="9" defaultRowHeight="20" customHeight="1"/>
  <cols>
    <col min="1" max="1" width="19.375" customWidth="1"/>
    <col min="2" max="2" width="18.25" customWidth="1"/>
    <col min="3" max="3" width="7.375" customWidth="1"/>
    <col min="4" max="5" width="11.5" customWidth="1"/>
    <col min="6" max="6" width="10.375" customWidth="1"/>
    <col min="7" max="7" width="14.875" customWidth="1"/>
    <col min="8" max="8" width="5.375" customWidth="1"/>
    <col min="9" max="10" width="8.875" customWidth="1"/>
  </cols>
  <sheetData>
    <row r="1" customHeight="1" spans="1:9">
      <c r="A1" s="34" t="s">
        <v>93</v>
      </c>
      <c r="B1" s="34" t="s">
        <v>94</v>
      </c>
      <c r="C1" s="34" t="s">
        <v>95</v>
      </c>
      <c r="D1" s="34" t="s">
        <v>96</v>
      </c>
      <c r="E1" s="34" t="s">
        <v>97</v>
      </c>
      <c r="F1" s="35" t="s">
        <v>98</v>
      </c>
      <c r="G1" s="34" t="s">
        <v>99</v>
      </c>
      <c r="H1" s="34" t="s">
        <v>100</v>
      </c>
      <c r="I1" s="35"/>
    </row>
    <row r="2" customHeight="1" spans="1:9">
      <c r="A2" s="34" t="s">
        <v>101</v>
      </c>
      <c r="B2" s="34" t="s">
        <v>102</v>
      </c>
      <c r="C2" s="34" t="s">
        <v>103</v>
      </c>
      <c r="D2" s="34" t="s">
        <v>104</v>
      </c>
      <c r="E2" s="34" t="s">
        <v>105</v>
      </c>
      <c r="F2" s="35" t="s">
        <v>106</v>
      </c>
      <c r="G2" s="34" t="s">
        <v>107</v>
      </c>
      <c r="H2" s="34" t="s">
        <v>108</v>
      </c>
      <c r="I2" s="35" t="s">
        <v>109</v>
      </c>
    </row>
    <row r="3" customHeight="1" spans="1:9">
      <c r="A3" s="36" t="s">
        <v>110</v>
      </c>
      <c r="B3" s="37" t="s">
        <v>111</v>
      </c>
      <c r="C3" s="38">
        <v>1</v>
      </c>
      <c r="D3" s="38">
        <v>4</v>
      </c>
      <c r="E3" s="38">
        <v>0</v>
      </c>
      <c r="F3" s="38">
        <v>80</v>
      </c>
      <c r="G3" s="38">
        <v>1</v>
      </c>
      <c r="H3" s="38">
        <v>20</v>
      </c>
      <c r="I3" s="36">
        <v>20</v>
      </c>
    </row>
    <row r="4" customHeight="1" spans="1:9">
      <c r="A4" s="39"/>
      <c r="B4" s="40" t="s">
        <v>112</v>
      </c>
      <c r="C4" s="38">
        <v>1</v>
      </c>
      <c r="D4" s="38">
        <v>4</v>
      </c>
      <c r="E4" s="38">
        <v>0</v>
      </c>
      <c r="F4" s="38">
        <v>80</v>
      </c>
      <c r="G4" s="38">
        <v>1.5</v>
      </c>
      <c r="H4" s="38">
        <v>20</v>
      </c>
      <c r="I4" s="39"/>
    </row>
    <row r="5" customHeight="1" spans="1:9">
      <c r="A5" s="36" t="s">
        <v>113</v>
      </c>
      <c r="B5" s="37" t="s">
        <v>114</v>
      </c>
      <c r="C5" s="38">
        <v>1</v>
      </c>
      <c r="D5" s="38">
        <v>4</v>
      </c>
      <c r="E5" s="38">
        <v>0</v>
      </c>
      <c r="F5" s="38">
        <v>80</v>
      </c>
      <c r="G5" s="38">
        <v>1</v>
      </c>
      <c r="H5" s="38">
        <v>20</v>
      </c>
      <c r="I5" s="36">
        <v>20</v>
      </c>
    </row>
    <row r="6" customHeight="1" spans="1:9">
      <c r="A6" s="39"/>
      <c r="B6" s="40" t="s">
        <v>115</v>
      </c>
      <c r="C6" s="38">
        <v>1</v>
      </c>
      <c r="D6" s="38">
        <v>4</v>
      </c>
      <c r="E6" s="38">
        <v>0</v>
      </c>
      <c r="F6" s="38">
        <v>80</v>
      </c>
      <c r="G6" s="38">
        <v>1.5</v>
      </c>
      <c r="H6" s="38">
        <v>20</v>
      </c>
      <c r="I6" s="39"/>
    </row>
    <row r="7" customHeight="1" spans="1:9">
      <c r="A7" s="36" t="s">
        <v>116</v>
      </c>
      <c r="B7" s="37" t="s">
        <v>117</v>
      </c>
      <c r="C7" s="38">
        <v>1</v>
      </c>
      <c r="D7" s="38">
        <v>4</v>
      </c>
      <c r="E7" s="38">
        <v>0</v>
      </c>
      <c r="F7" s="38">
        <v>80</v>
      </c>
      <c r="G7" s="38">
        <v>1</v>
      </c>
      <c r="H7" s="38">
        <v>20</v>
      </c>
      <c r="I7" s="36">
        <v>20</v>
      </c>
    </row>
    <row r="8" customHeight="1" spans="1:9">
      <c r="A8" s="41"/>
      <c r="B8" s="40" t="s">
        <v>118</v>
      </c>
      <c r="C8" s="38">
        <v>1</v>
      </c>
      <c r="D8" s="38">
        <v>4</v>
      </c>
      <c r="E8" s="38">
        <v>0</v>
      </c>
      <c r="F8" s="38">
        <v>80</v>
      </c>
      <c r="G8" s="38">
        <v>1</v>
      </c>
      <c r="H8" s="38">
        <v>20</v>
      </c>
      <c r="I8" s="41"/>
    </row>
    <row r="9" customHeight="1" spans="1:9">
      <c r="A9" s="41"/>
      <c r="B9" s="37" t="s">
        <v>119</v>
      </c>
      <c r="C9" s="38">
        <v>0.5</v>
      </c>
      <c r="D9" s="38">
        <v>2</v>
      </c>
      <c r="E9" s="38">
        <v>0</v>
      </c>
      <c r="F9" s="38">
        <v>80</v>
      </c>
      <c r="G9" s="38">
        <v>1.5</v>
      </c>
      <c r="H9" s="38">
        <v>20</v>
      </c>
      <c r="I9" s="41"/>
    </row>
    <row r="10" customHeight="1" spans="1:9">
      <c r="A10" s="41"/>
      <c r="B10" s="40" t="s">
        <v>120</v>
      </c>
      <c r="C10" s="38">
        <v>0.5</v>
      </c>
      <c r="D10" s="38">
        <v>2</v>
      </c>
      <c r="E10" s="38">
        <v>0</v>
      </c>
      <c r="F10" s="38">
        <v>80</v>
      </c>
      <c r="G10" s="38">
        <v>1.5</v>
      </c>
      <c r="H10" s="38">
        <v>20</v>
      </c>
      <c r="I10" s="41"/>
    </row>
    <row r="11" customHeight="1" spans="1:9">
      <c r="A11" s="39"/>
      <c r="B11" s="37" t="s">
        <v>121</v>
      </c>
      <c r="C11" s="38">
        <v>0.5</v>
      </c>
      <c r="D11" s="38">
        <v>2</v>
      </c>
      <c r="E11" s="38">
        <v>0</v>
      </c>
      <c r="F11" s="38">
        <v>80</v>
      </c>
      <c r="G11" s="38">
        <v>1.5</v>
      </c>
      <c r="H11" s="38">
        <v>20</v>
      </c>
      <c r="I11" s="39"/>
    </row>
    <row r="12" customHeight="1" spans="1:9">
      <c r="A12" s="36" t="s">
        <v>122</v>
      </c>
      <c r="B12" s="40" t="s">
        <v>114</v>
      </c>
      <c r="C12" s="38">
        <v>1</v>
      </c>
      <c r="D12" s="38">
        <v>3</v>
      </c>
      <c r="E12" s="38">
        <v>0</v>
      </c>
      <c r="F12" s="38">
        <v>60</v>
      </c>
      <c r="G12" s="38">
        <v>1</v>
      </c>
      <c r="H12" s="38">
        <v>20</v>
      </c>
      <c r="I12" s="36">
        <v>20</v>
      </c>
    </row>
    <row r="13" customHeight="1" spans="1:9">
      <c r="A13" s="41"/>
      <c r="B13" s="37" t="s">
        <v>111</v>
      </c>
      <c r="C13" s="38">
        <v>1</v>
      </c>
      <c r="D13" s="38">
        <v>3</v>
      </c>
      <c r="E13" s="38">
        <v>0</v>
      </c>
      <c r="F13" s="38">
        <v>60</v>
      </c>
      <c r="G13" s="38">
        <v>1</v>
      </c>
      <c r="H13" s="38">
        <v>20</v>
      </c>
      <c r="I13" s="41"/>
    </row>
    <row r="14" customHeight="1" spans="1:9">
      <c r="A14" s="41"/>
      <c r="B14" s="40" t="s">
        <v>123</v>
      </c>
      <c r="C14" s="38">
        <v>1</v>
      </c>
      <c r="D14" s="38">
        <v>3</v>
      </c>
      <c r="E14" s="38">
        <v>0</v>
      </c>
      <c r="F14" s="38">
        <v>60</v>
      </c>
      <c r="G14" s="38">
        <v>1.5</v>
      </c>
      <c r="H14" s="38">
        <v>20</v>
      </c>
      <c r="I14" s="41"/>
    </row>
    <row r="15" customHeight="1" spans="1:9">
      <c r="A15" s="41"/>
      <c r="B15" s="37" t="s">
        <v>124</v>
      </c>
      <c r="C15" s="38">
        <v>1</v>
      </c>
      <c r="D15" s="38">
        <v>3</v>
      </c>
      <c r="E15" s="38">
        <v>0</v>
      </c>
      <c r="F15" s="38">
        <v>60</v>
      </c>
      <c r="G15" s="38">
        <v>2</v>
      </c>
      <c r="H15" s="38">
        <v>20</v>
      </c>
      <c r="I15" s="41"/>
    </row>
    <row r="16" customHeight="1" spans="1:9">
      <c r="A16" s="39"/>
      <c r="B16" s="40" t="s">
        <v>125</v>
      </c>
      <c r="C16" s="38">
        <v>2</v>
      </c>
      <c r="D16" s="38">
        <v>10</v>
      </c>
      <c r="E16" s="38">
        <v>0</v>
      </c>
      <c r="F16" s="38">
        <v>100</v>
      </c>
      <c r="G16" s="38">
        <v>1.5</v>
      </c>
      <c r="H16" s="38">
        <v>20</v>
      </c>
      <c r="I16" s="39"/>
    </row>
    <row r="17" customHeight="1" spans="1:9">
      <c r="A17" s="36" t="s">
        <v>126</v>
      </c>
      <c r="B17" s="37" t="s">
        <v>115</v>
      </c>
      <c r="C17" s="38">
        <v>1</v>
      </c>
      <c r="D17" s="38">
        <v>4</v>
      </c>
      <c r="E17" s="38">
        <v>0.25</v>
      </c>
      <c r="F17" s="38">
        <v>80</v>
      </c>
      <c r="G17" s="38">
        <v>1</v>
      </c>
      <c r="H17" s="38">
        <v>30</v>
      </c>
      <c r="I17" s="36">
        <v>30</v>
      </c>
    </row>
    <row r="18" customHeight="1" spans="1:9">
      <c r="A18" s="39"/>
      <c r="B18" s="40" t="s">
        <v>127</v>
      </c>
      <c r="C18" s="38">
        <v>1</v>
      </c>
      <c r="D18" s="38">
        <v>2</v>
      </c>
      <c r="E18" s="38">
        <v>0</v>
      </c>
      <c r="F18" s="38">
        <v>40</v>
      </c>
      <c r="G18" s="38">
        <v>1.33</v>
      </c>
      <c r="H18" s="38">
        <v>30</v>
      </c>
      <c r="I18" s="39"/>
    </row>
    <row r="19" customHeight="1" spans="1:9">
      <c r="A19" s="42" t="s">
        <v>128</v>
      </c>
      <c r="B19" s="37" t="s">
        <v>112</v>
      </c>
      <c r="C19" s="38">
        <v>1</v>
      </c>
      <c r="D19" s="38"/>
      <c r="E19" s="38"/>
      <c r="F19" s="38"/>
      <c r="G19" s="38">
        <v>1</v>
      </c>
      <c r="H19" s="38">
        <v>30</v>
      </c>
      <c r="I19" s="42">
        <v>30</v>
      </c>
    </row>
    <row r="20" customHeight="1" spans="1:9">
      <c r="A20" s="42" t="s">
        <v>129</v>
      </c>
      <c r="B20" s="40" t="s">
        <v>129</v>
      </c>
      <c r="C20" s="38">
        <v>1</v>
      </c>
      <c r="D20" s="38"/>
      <c r="E20" s="38"/>
      <c r="F20" s="38"/>
      <c r="G20" s="38">
        <v>1</v>
      </c>
      <c r="H20" s="38">
        <v>30</v>
      </c>
      <c r="I20" s="42">
        <v>30</v>
      </c>
    </row>
    <row r="21" customHeight="1" spans="1:9">
      <c r="A21" s="36" t="s">
        <v>130</v>
      </c>
      <c r="B21" s="37" t="s">
        <v>131</v>
      </c>
      <c r="C21" s="38">
        <v>1</v>
      </c>
      <c r="D21" s="38">
        <v>3</v>
      </c>
      <c r="E21" s="38">
        <v>0</v>
      </c>
      <c r="F21" s="38">
        <v>60</v>
      </c>
      <c r="G21" s="38">
        <v>1</v>
      </c>
      <c r="H21" s="38">
        <v>30</v>
      </c>
      <c r="I21" s="36">
        <v>30</v>
      </c>
    </row>
    <row r="22" customHeight="1" spans="1:9">
      <c r="A22" s="41"/>
      <c r="B22" s="40" t="s">
        <v>132</v>
      </c>
      <c r="C22" s="38">
        <v>1</v>
      </c>
      <c r="D22" s="38">
        <v>3</v>
      </c>
      <c r="E22" s="38">
        <v>0</v>
      </c>
      <c r="F22" s="38">
        <v>60</v>
      </c>
      <c r="G22" s="38">
        <v>1.33</v>
      </c>
      <c r="H22" s="38">
        <v>30</v>
      </c>
      <c r="I22" s="41"/>
    </row>
    <row r="23" customHeight="1" spans="1:9">
      <c r="A23" s="39"/>
      <c r="B23" s="37" t="s">
        <v>133</v>
      </c>
      <c r="C23" s="38">
        <v>1</v>
      </c>
      <c r="D23" s="38">
        <v>3</v>
      </c>
      <c r="E23" s="38">
        <v>0</v>
      </c>
      <c r="F23" s="38">
        <v>60</v>
      </c>
      <c r="G23" s="38">
        <v>1.66</v>
      </c>
      <c r="H23" s="38">
        <v>30</v>
      </c>
      <c r="I23" s="39"/>
    </row>
    <row r="24" customHeight="1" spans="1:9">
      <c r="A24" s="36" t="s">
        <v>134</v>
      </c>
      <c r="B24" s="40" t="s">
        <v>135</v>
      </c>
      <c r="C24" s="38">
        <v>1</v>
      </c>
      <c r="D24" s="38">
        <v>3</v>
      </c>
      <c r="E24" s="38">
        <v>0</v>
      </c>
      <c r="F24" s="38">
        <v>60</v>
      </c>
      <c r="G24" s="38">
        <v>1</v>
      </c>
      <c r="H24" s="38">
        <v>50</v>
      </c>
      <c r="I24" s="36">
        <v>50</v>
      </c>
    </row>
    <row r="25" customHeight="1" spans="1:9">
      <c r="A25" s="41"/>
      <c r="B25" s="37" t="s">
        <v>136</v>
      </c>
      <c r="C25" s="38">
        <v>1</v>
      </c>
      <c r="D25" s="38">
        <v>3</v>
      </c>
      <c r="E25" s="38">
        <v>0</v>
      </c>
      <c r="F25" s="38">
        <v>60</v>
      </c>
      <c r="G25" s="38">
        <v>1</v>
      </c>
      <c r="H25" s="38">
        <v>50</v>
      </c>
      <c r="I25" s="41"/>
    </row>
    <row r="26" customHeight="1" spans="1:9">
      <c r="A26" s="39"/>
      <c r="B26" s="40" t="s">
        <v>137</v>
      </c>
      <c r="C26" s="38">
        <v>1</v>
      </c>
      <c r="D26" s="38">
        <v>3</v>
      </c>
      <c r="E26" s="38">
        <v>0</v>
      </c>
      <c r="F26" s="38">
        <v>60</v>
      </c>
      <c r="G26" s="38">
        <v>1</v>
      </c>
      <c r="H26" s="38">
        <v>50</v>
      </c>
      <c r="I26" s="39"/>
    </row>
    <row r="27" customHeight="1" spans="1:9">
      <c r="A27" s="36" t="s">
        <v>138</v>
      </c>
      <c r="B27" s="37" t="s">
        <v>129</v>
      </c>
      <c r="C27" s="38">
        <v>0.5</v>
      </c>
      <c r="D27" s="38">
        <v>2</v>
      </c>
      <c r="E27" s="38">
        <v>0</v>
      </c>
      <c r="F27" s="38">
        <v>80</v>
      </c>
      <c r="G27" s="38">
        <v>1</v>
      </c>
      <c r="H27" s="38">
        <v>30</v>
      </c>
      <c r="I27" s="36">
        <v>30</v>
      </c>
    </row>
    <row r="28" customHeight="1" spans="1:9">
      <c r="A28" s="41"/>
      <c r="B28" s="40" t="s">
        <v>139</v>
      </c>
      <c r="C28" s="38">
        <v>1</v>
      </c>
      <c r="D28" s="38">
        <v>3</v>
      </c>
      <c r="E28" s="38">
        <v>0</v>
      </c>
      <c r="F28" s="38">
        <v>60</v>
      </c>
      <c r="G28" s="38">
        <v>1</v>
      </c>
      <c r="H28" s="38">
        <v>30</v>
      </c>
      <c r="I28" s="41"/>
    </row>
    <row r="29" customHeight="1" spans="1:9">
      <c r="A29" s="39"/>
      <c r="B29" s="37" t="s">
        <v>140</v>
      </c>
      <c r="C29" s="38">
        <v>1</v>
      </c>
      <c r="D29" s="38">
        <v>3</v>
      </c>
      <c r="E29" s="38">
        <v>0</v>
      </c>
      <c r="F29" s="38">
        <v>60</v>
      </c>
      <c r="G29" s="38">
        <v>2.33</v>
      </c>
      <c r="H29" s="38">
        <v>30</v>
      </c>
      <c r="I29" s="39"/>
    </row>
    <row r="30" customHeight="1" spans="1:9">
      <c r="A30" s="36" t="s">
        <v>141</v>
      </c>
      <c r="B30" s="40" t="s">
        <v>129</v>
      </c>
      <c r="C30" s="38">
        <v>0.5</v>
      </c>
      <c r="D30" s="38">
        <v>2</v>
      </c>
      <c r="E30" s="38">
        <v>0</v>
      </c>
      <c r="F30" s="38">
        <v>80</v>
      </c>
      <c r="G30" s="38">
        <v>1</v>
      </c>
      <c r="H30" s="38">
        <v>30</v>
      </c>
      <c r="I30" s="36">
        <v>30</v>
      </c>
    </row>
    <row r="31" customHeight="1" spans="1:9">
      <c r="A31" s="41"/>
      <c r="B31" s="37" t="s">
        <v>139</v>
      </c>
      <c r="C31" s="38">
        <v>1</v>
      </c>
      <c r="D31" s="38">
        <v>3</v>
      </c>
      <c r="E31" s="38">
        <v>0</v>
      </c>
      <c r="F31" s="38">
        <v>60</v>
      </c>
      <c r="G31" s="38">
        <v>1</v>
      </c>
      <c r="H31" s="38">
        <v>30</v>
      </c>
      <c r="I31" s="41"/>
    </row>
    <row r="32" customHeight="1" spans="1:9">
      <c r="A32" s="39"/>
      <c r="B32" s="40" t="s">
        <v>142</v>
      </c>
      <c r="C32" s="38">
        <v>1</v>
      </c>
      <c r="D32" s="38">
        <v>3</v>
      </c>
      <c r="E32" s="38">
        <v>0</v>
      </c>
      <c r="F32" s="38">
        <v>60</v>
      </c>
      <c r="G32" s="38">
        <v>2.33</v>
      </c>
      <c r="H32" s="38">
        <v>30</v>
      </c>
      <c r="I32" s="39"/>
    </row>
    <row r="33" customHeight="1" spans="1:9">
      <c r="A33" s="36" t="s">
        <v>143</v>
      </c>
      <c r="B33" s="37" t="s">
        <v>119</v>
      </c>
      <c r="C33" s="38">
        <v>1</v>
      </c>
      <c r="D33" s="38">
        <v>2</v>
      </c>
      <c r="E33" s="38">
        <v>0</v>
      </c>
      <c r="F33" s="38">
        <v>40</v>
      </c>
      <c r="G33" s="38">
        <v>1</v>
      </c>
      <c r="H33" s="38">
        <v>30</v>
      </c>
      <c r="I33" s="36">
        <v>30</v>
      </c>
    </row>
    <row r="34" customHeight="1" spans="1:9">
      <c r="A34" s="41"/>
      <c r="B34" s="40" t="s">
        <v>120</v>
      </c>
      <c r="C34" s="38">
        <v>1</v>
      </c>
      <c r="D34" s="38">
        <v>2</v>
      </c>
      <c r="E34" s="38">
        <v>0</v>
      </c>
      <c r="F34" s="38">
        <v>40</v>
      </c>
      <c r="G34" s="38">
        <v>1</v>
      </c>
      <c r="H34" s="38">
        <v>30</v>
      </c>
      <c r="I34" s="41"/>
    </row>
    <row r="35" customHeight="1" spans="1:9">
      <c r="A35" s="41"/>
      <c r="B35" s="37" t="s">
        <v>121</v>
      </c>
      <c r="C35" s="38">
        <v>1</v>
      </c>
      <c r="D35" s="38">
        <v>2</v>
      </c>
      <c r="E35" s="38">
        <v>0</v>
      </c>
      <c r="F35" s="38">
        <v>40</v>
      </c>
      <c r="G35" s="38">
        <v>1</v>
      </c>
      <c r="H35" s="38">
        <v>30</v>
      </c>
      <c r="I35" s="41"/>
    </row>
    <row r="36" customHeight="1" spans="1:9">
      <c r="A36" s="39"/>
      <c r="B36" s="40" t="s">
        <v>144</v>
      </c>
      <c r="C36" s="38">
        <v>0.5</v>
      </c>
      <c r="D36" s="38">
        <v>1</v>
      </c>
      <c r="E36" s="38">
        <v>0</v>
      </c>
      <c r="F36" s="38">
        <v>40</v>
      </c>
      <c r="G36" s="38">
        <v>1</v>
      </c>
      <c r="H36" s="38">
        <v>30</v>
      </c>
      <c r="I36" s="39"/>
    </row>
    <row r="37" customHeight="1" spans="1:9">
      <c r="A37" s="36" t="s">
        <v>145</v>
      </c>
      <c r="B37" s="37" t="s">
        <v>146</v>
      </c>
      <c r="C37" s="38">
        <v>1</v>
      </c>
      <c r="D37" s="38">
        <v>1</v>
      </c>
      <c r="E37" s="38">
        <v>0.25</v>
      </c>
      <c r="F37" s="38">
        <v>40</v>
      </c>
      <c r="G37" s="38">
        <v>1</v>
      </c>
      <c r="H37" s="38">
        <v>60</v>
      </c>
      <c r="I37" s="36">
        <v>60</v>
      </c>
    </row>
    <row r="38" customHeight="1" spans="1:9">
      <c r="A38" s="41"/>
      <c r="B38" s="40" t="s">
        <v>147</v>
      </c>
      <c r="C38" s="38">
        <v>1</v>
      </c>
      <c r="D38" s="38">
        <v>2</v>
      </c>
      <c r="E38" s="38">
        <v>0.25</v>
      </c>
      <c r="F38" s="38">
        <v>40</v>
      </c>
      <c r="G38" s="38">
        <v>1</v>
      </c>
      <c r="H38" s="38">
        <v>60</v>
      </c>
      <c r="I38" s="41"/>
    </row>
    <row r="39" customHeight="1" spans="1:9">
      <c r="A39" s="41"/>
      <c r="B39" s="37" t="s">
        <v>148</v>
      </c>
      <c r="C39" s="38">
        <v>1</v>
      </c>
      <c r="D39" s="38">
        <v>2</v>
      </c>
      <c r="E39" s="38">
        <v>0.25</v>
      </c>
      <c r="F39" s="38">
        <v>40</v>
      </c>
      <c r="G39" s="38">
        <v>1.16</v>
      </c>
      <c r="H39" s="38">
        <v>60</v>
      </c>
      <c r="I39" s="41"/>
    </row>
    <row r="40" customHeight="1" spans="1:9">
      <c r="A40" s="39"/>
      <c r="B40" s="40" t="s">
        <v>149</v>
      </c>
      <c r="C40" s="38">
        <v>1</v>
      </c>
      <c r="D40" s="38">
        <v>2</v>
      </c>
      <c r="E40" s="38">
        <v>0</v>
      </c>
      <c r="F40" s="38">
        <v>40</v>
      </c>
      <c r="G40" s="38">
        <v>1.33</v>
      </c>
      <c r="H40" s="38">
        <v>60</v>
      </c>
      <c r="I40" s="39"/>
    </row>
    <row r="41" customHeight="1" spans="1:9">
      <c r="A41" s="36" t="s">
        <v>150</v>
      </c>
      <c r="B41" s="37" t="s">
        <v>129</v>
      </c>
      <c r="C41" s="38">
        <v>0.5</v>
      </c>
      <c r="D41" s="38">
        <v>2</v>
      </c>
      <c r="E41" s="38">
        <v>0</v>
      </c>
      <c r="F41" s="38">
        <v>80</v>
      </c>
      <c r="G41" s="38">
        <v>1</v>
      </c>
      <c r="H41" s="38">
        <v>30</v>
      </c>
      <c r="I41" s="36">
        <v>30</v>
      </c>
    </row>
    <row r="42" customHeight="1" spans="1:9">
      <c r="A42" s="39"/>
      <c r="B42" s="40" t="s">
        <v>151</v>
      </c>
      <c r="C42" s="38">
        <v>1</v>
      </c>
      <c r="D42" s="38">
        <v>3</v>
      </c>
      <c r="E42" s="38">
        <v>0</v>
      </c>
      <c r="F42" s="38">
        <v>60</v>
      </c>
      <c r="G42" s="38">
        <v>6.66</v>
      </c>
      <c r="H42" s="38">
        <v>30</v>
      </c>
      <c r="I42" s="39"/>
    </row>
  </sheetData>
  <mergeCells count="23">
    <mergeCell ref="A3:A4"/>
    <mergeCell ref="A5:A6"/>
    <mergeCell ref="A7:A11"/>
    <mergeCell ref="A12:A16"/>
    <mergeCell ref="A17:A18"/>
    <mergeCell ref="A21:A23"/>
    <mergeCell ref="A24:A26"/>
    <mergeCell ref="A30:A32"/>
    <mergeCell ref="A33:A36"/>
    <mergeCell ref="A37:A40"/>
    <mergeCell ref="A41:A42"/>
    <mergeCell ref="I3:I4"/>
    <mergeCell ref="I5:I6"/>
    <mergeCell ref="I7:I11"/>
    <mergeCell ref="I12:I16"/>
    <mergeCell ref="I17:I18"/>
    <mergeCell ref="I21:I23"/>
    <mergeCell ref="I24:I26"/>
    <mergeCell ref="I27:I29"/>
    <mergeCell ref="I30:I32"/>
    <mergeCell ref="I33:I36"/>
    <mergeCell ref="I37:I40"/>
    <mergeCell ref="I41:I42"/>
  </mergeCells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G16"/>
  <sheetViews>
    <sheetView showGridLines="0" workbookViewId="0">
      <selection activeCell="G16" sqref="G16"/>
    </sheetView>
  </sheetViews>
  <sheetFormatPr defaultColWidth="9" defaultRowHeight="20" customHeight="1" outlineLevelCol="6"/>
  <cols>
    <col min="1" max="1" width="15.875" customWidth="1"/>
    <col min="2" max="2" width="8.875" customWidth="1"/>
    <col min="3" max="3" width="13.75" customWidth="1"/>
    <col min="4" max="4" width="18.25" customWidth="1"/>
    <col min="5" max="5" width="14.625" customWidth="1"/>
    <col min="6" max="6" width="9.875" customWidth="1"/>
    <col min="7" max="7" width="14.625" customWidth="1"/>
    <col min="8" max="8" width="9.875" customWidth="1"/>
  </cols>
  <sheetData>
    <row r="1" ht="33" customHeight="1" spans="1:3">
      <c r="A1" s="3" t="s">
        <v>152</v>
      </c>
      <c r="B1" s="30" t="s">
        <v>153</v>
      </c>
      <c r="C1" s="31" t="s">
        <v>153</v>
      </c>
    </row>
    <row r="2" customHeight="1" spans="1:7">
      <c r="A2" s="32"/>
      <c r="B2" s="8"/>
      <c r="C2" s="9"/>
      <c r="D2" s="7"/>
      <c r="E2" s="7"/>
      <c r="F2" s="7"/>
      <c r="G2" s="7"/>
    </row>
    <row r="3" customHeight="1" spans="1:7">
      <c r="A3" s="33" t="s">
        <v>154</v>
      </c>
      <c r="B3" s="7" t="s">
        <v>155</v>
      </c>
      <c r="C3" s="10" t="s">
        <v>156</v>
      </c>
      <c r="D3" s="7" t="s">
        <v>157</v>
      </c>
      <c r="E3" s="33" t="s">
        <v>158</v>
      </c>
      <c r="F3" s="33" t="s">
        <v>159</v>
      </c>
      <c r="G3" s="33" t="s">
        <v>160</v>
      </c>
    </row>
    <row r="4" customHeight="1" spans="1:7">
      <c r="A4" s="2" t="s">
        <v>161</v>
      </c>
      <c r="B4" s="2" t="s">
        <v>162</v>
      </c>
      <c r="C4">
        <v>20</v>
      </c>
      <c r="D4">
        <f t="shared" ref="D4:D16" si="0">G4*F4/$F$15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2" t="s">
        <v>163</v>
      </c>
      <c r="B5" s="2" t="s">
        <v>162</v>
      </c>
      <c r="C5">
        <v>20</v>
      </c>
      <c r="D5">
        <f t="shared" si="0"/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2" t="s">
        <v>164</v>
      </c>
      <c r="B6" s="2" t="s">
        <v>162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2" t="s">
        <v>165</v>
      </c>
      <c r="B7" s="2" t="s">
        <v>166</v>
      </c>
      <c r="C7">
        <v>10</v>
      </c>
      <c r="D7">
        <f t="shared" si="0"/>
        <v>0.0663</v>
      </c>
      <c r="E7">
        <f>VLOOKUP("wealth_"&amp;C7,[1]buy_packages!$A$4:$C$102,3,FALSE)</f>
        <v>354</v>
      </c>
      <c r="F7">
        <v>3</v>
      </c>
      <c r="G7">
        <v>0.0221</v>
      </c>
    </row>
    <row r="8" customHeight="1" spans="1:7">
      <c r="A8" s="2" t="s">
        <v>167</v>
      </c>
      <c r="B8" s="2" t="s">
        <v>166</v>
      </c>
      <c r="C8">
        <v>10</v>
      </c>
      <c r="D8">
        <f t="shared" si="0"/>
        <v>0.0663</v>
      </c>
      <c r="E8">
        <f>VLOOKUP("wealth_"&amp;C8,[1]buy_packages!$A$4:$C$102,3,FALSE)</f>
        <v>354</v>
      </c>
      <c r="F8">
        <v>3</v>
      </c>
      <c r="G8">
        <v>0.0221</v>
      </c>
    </row>
    <row r="9" customHeight="1" spans="1:7">
      <c r="A9" s="2" t="s">
        <v>168</v>
      </c>
      <c r="B9" s="2" t="s">
        <v>166</v>
      </c>
      <c r="C9">
        <v>10</v>
      </c>
      <c r="D9">
        <f t="shared" si="0"/>
        <v>0.0663</v>
      </c>
      <c r="E9">
        <f>VLOOKUP("wealth_"&amp;C9,[1]buy_packages!$A$4:$C$102,3,FALSE)</f>
        <v>354</v>
      </c>
      <c r="F9">
        <v>3</v>
      </c>
      <c r="G9">
        <v>0.0221</v>
      </c>
    </row>
    <row r="10" customHeight="1" spans="1:7">
      <c r="A10" s="2" t="s">
        <v>169</v>
      </c>
      <c r="B10" s="2" t="s">
        <v>166</v>
      </c>
      <c r="C10">
        <v>10</v>
      </c>
      <c r="D10">
        <f t="shared" si="0"/>
        <v>0.0884</v>
      </c>
      <c r="E10">
        <f>VLOOKUP("wealth_"&amp;C10,[1]buy_packages!$A$4:$C$102,3,FALSE)</f>
        <v>354</v>
      </c>
      <c r="F10">
        <v>4</v>
      </c>
      <c r="G10">
        <v>0.0221</v>
      </c>
    </row>
    <row r="11" customHeight="1" spans="1:7">
      <c r="A11" s="2" t="s">
        <v>170</v>
      </c>
      <c r="B11" s="2" t="s">
        <v>166</v>
      </c>
      <c r="C11">
        <v>10</v>
      </c>
      <c r="D11">
        <f t="shared" si="0"/>
        <v>0.1105</v>
      </c>
      <c r="E11">
        <f>VLOOKUP("wealth_"&amp;C11,[1]buy_packages!$A$4:$C$102,3,FALSE)</f>
        <v>354</v>
      </c>
      <c r="F11">
        <v>5</v>
      </c>
      <c r="G11">
        <v>0.0221</v>
      </c>
    </row>
    <row r="12" customHeight="1" spans="1:7">
      <c r="A12" s="2" t="s">
        <v>171</v>
      </c>
      <c r="B12" s="2" t="s">
        <v>166</v>
      </c>
      <c r="C12">
        <v>10</v>
      </c>
      <c r="D12">
        <f t="shared" si="0"/>
        <v>0.0663</v>
      </c>
      <c r="E12">
        <f>VLOOKUP("wealth_"&amp;C12,[1]buy_packages!$A$4:$C$102,3,FALSE)</f>
        <v>354</v>
      </c>
      <c r="F12">
        <v>3</v>
      </c>
      <c r="G12">
        <v>0.0221</v>
      </c>
    </row>
    <row r="13" customHeight="1" spans="1:7">
      <c r="A13" s="2" t="s">
        <v>172</v>
      </c>
      <c r="B13" s="2" t="s">
        <v>173</v>
      </c>
      <c r="C13">
        <v>7</v>
      </c>
      <c r="D13">
        <f t="shared" si="0"/>
        <v>0.0442</v>
      </c>
      <c r="E13">
        <f>VLOOKUP("wealth_"&amp;C13,[1]buy_packages!$A$4:$C$102,3,FALSE)</f>
        <v>263</v>
      </c>
      <c r="F13">
        <v>2</v>
      </c>
      <c r="G13">
        <v>0.0221</v>
      </c>
    </row>
    <row r="14" customHeight="1" spans="1:7">
      <c r="A14" s="2" t="s">
        <v>174</v>
      </c>
      <c r="B14" s="2" t="s">
        <v>173</v>
      </c>
      <c r="C14">
        <v>5</v>
      </c>
      <c r="D14">
        <f t="shared" si="0"/>
        <v>0.00442</v>
      </c>
      <c r="E14">
        <f>VLOOKUP("wealth_"&amp;C14,[1]buy_packages!$A$4:$C$102,3,FALSE)</f>
        <v>221</v>
      </c>
      <c r="F14">
        <v>0.2</v>
      </c>
      <c r="G14">
        <v>0.0221</v>
      </c>
    </row>
    <row r="15" customHeight="1" spans="1:7">
      <c r="A15" s="2" t="s">
        <v>175</v>
      </c>
      <c r="B15" s="2" t="s">
        <v>173</v>
      </c>
      <c r="C15">
        <v>5</v>
      </c>
      <c r="D15">
        <f t="shared" si="0"/>
        <v>0.0221</v>
      </c>
      <c r="E15">
        <f>VLOOKUP("wealth_"&amp;C15,[1]buy_packages!$A$4:$C$102,3,FALSE)</f>
        <v>221</v>
      </c>
      <c r="F15">
        <v>1</v>
      </c>
      <c r="G15">
        <v>0.0221</v>
      </c>
    </row>
    <row r="16" customHeight="1" spans="1:7">
      <c r="A16" s="2" t="s">
        <v>176</v>
      </c>
      <c r="B16" s="2" t="s">
        <v>173</v>
      </c>
      <c r="C16">
        <v>1</v>
      </c>
      <c r="D16">
        <f t="shared" si="0"/>
        <v>0</v>
      </c>
      <c r="E16">
        <f>VLOOKUP("wealth_"&amp;C16,[1]buy_packages!$A$4:$C$102,3,FALSE)</f>
        <v>151</v>
      </c>
      <c r="F16">
        <v>0</v>
      </c>
      <c r="G16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R102"/>
  <sheetViews>
    <sheetView tabSelected="1" workbookViewId="0">
      <selection activeCell="H7" sqref="H7"/>
    </sheetView>
  </sheetViews>
  <sheetFormatPr defaultColWidth="9" defaultRowHeight="19.95" customHeight="1"/>
  <cols>
    <col min="1" max="1" width="12.25" customWidth="1"/>
    <col min="2" max="2" width="20.5" style="2" customWidth="1"/>
    <col min="3" max="3" width="17.25" style="2" customWidth="1"/>
    <col min="4" max="4" width="12.25" style="2" customWidth="1"/>
    <col min="5" max="5" width="17.1083333333333" customWidth="1"/>
    <col min="6" max="6" width="12.6666666666667" customWidth="1"/>
    <col min="7" max="7" width="11.4416666666667" customWidth="1"/>
    <col min="8" max="8" width="19.3333333333333" customWidth="1"/>
    <col min="9" max="9" width="17.1083333333333" customWidth="1"/>
    <col min="10" max="10" width="8.33333333333333" customWidth="1"/>
    <col min="11" max="11" width="12.6666666666667" customWidth="1"/>
    <col min="12" max="12" width="9.33333333333333" customWidth="1"/>
    <col min="13" max="15" width="14.8833333333333" customWidth="1"/>
    <col min="16" max="16" width="12.6666666666667" customWidth="1"/>
    <col min="17" max="17" width="13.775" customWidth="1"/>
    <col min="18" max="18" width="7.33333333333333" customWidth="1"/>
  </cols>
  <sheetData>
    <row r="1" customFormat="1" ht="39" customHeight="1" spans="1:4">
      <c r="A1" s="3" t="s">
        <v>152</v>
      </c>
      <c r="B1" s="4" t="s">
        <v>153</v>
      </c>
      <c r="C1" s="5" t="s">
        <v>153</v>
      </c>
      <c r="D1" s="6" t="s">
        <v>153</v>
      </c>
    </row>
    <row r="2" s="1" customFormat="1" ht="34.05" customHeight="1" spans="1:18">
      <c r="A2" s="7" t="s">
        <v>177</v>
      </c>
      <c r="B2" s="8" t="s">
        <v>178</v>
      </c>
      <c r="C2" s="9" t="s">
        <v>179</v>
      </c>
      <c r="D2" s="7" t="s">
        <v>180</v>
      </c>
      <c r="E2" s="7" t="s">
        <v>110</v>
      </c>
      <c r="F2" s="7" t="s">
        <v>113</v>
      </c>
      <c r="G2" s="7" t="s">
        <v>116</v>
      </c>
      <c r="H2" s="7" t="s">
        <v>128</v>
      </c>
      <c r="I2" s="7" t="s">
        <v>126</v>
      </c>
      <c r="J2" s="7" t="s">
        <v>122</v>
      </c>
      <c r="K2" s="7" t="s">
        <v>130</v>
      </c>
      <c r="L2" s="7" t="s">
        <v>129</v>
      </c>
      <c r="M2" s="7" t="s">
        <v>134</v>
      </c>
      <c r="N2" s="7" t="s">
        <v>138</v>
      </c>
      <c r="O2" s="7" t="s">
        <v>141</v>
      </c>
      <c r="P2" s="7" t="s">
        <v>143</v>
      </c>
      <c r="Q2" s="7" t="s">
        <v>145</v>
      </c>
      <c r="R2" s="29" t="s">
        <v>150</v>
      </c>
    </row>
    <row r="3" s="1" customFormat="1" customHeight="1" spans="1:18">
      <c r="A3" s="7" t="s">
        <v>181</v>
      </c>
      <c r="B3" s="7" t="s">
        <v>182</v>
      </c>
      <c r="C3" s="10" t="s">
        <v>183</v>
      </c>
      <c r="D3" s="7" t="s">
        <v>184</v>
      </c>
      <c r="E3" s="7" t="s">
        <v>185</v>
      </c>
      <c r="F3" s="7" t="s">
        <v>186</v>
      </c>
      <c r="G3" s="7" t="s">
        <v>187</v>
      </c>
      <c r="H3" s="7" t="s">
        <v>188</v>
      </c>
      <c r="I3" s="7" t="s">
        <v>189</v>
      </c>
      <c r="J3" s="7" t="s">
        <v>190</v>
      </c>
      <c r="K3" s="7" t="s">
        <v>191</v>
      </c>
      <c r="L3" s="7" t="s">
        <v>42</v>
      </c>
      <c r="M3" s="7" t="s">
        <v>192</v>
      </c>
      <c r="N3" s="7" t="s">
        <v>193</v>
      </c>
      <c r="O3" s="7" t="s">
        <v>194</v>
      </c>
      <c r="P3" s="7" t="s">
        <v>195</v>
      </c>
      <c r="Q3" s="7" t="s">
        <v>196</v>
      </c>
      <c r="R3" s="29" t="s">
        <v>197</v>
      </c>
    </row>
    <row r="4" customHeight="1" spans="1:18">
      <c r="A4" s="11" t="s">
        <v>198</v>
      </c>
      <c r="B4" s="11">
        <v>0.03</v>
      </c>
      <c r="C4" s="11">
        <f t="shared" ref="C4:C67" si="0">SUM(E4:R4)</f>
        <v>151</v>
      </c>
      <c r="E4" s="12">
        <v>23</v>
      </c>
      <c r="F4" s="12"/>
      <c r="G4" s="12">
        <v>90</v>
      </c>
      <c r="H4" s="12"/>
      <c r="I4" s="12"/>
      <c r="J4" s="12">
        <v>15</v>
      </c>
      <c r="K4" s="12">
        <v>23</v>
      </c>
      <c r="L4" s="12"/>
      <c r="M4" s="12"/>
      <c r="N4" s="12"/>
      <c r="O4" s="12"/>
      <c r="P4" s="12"/>
      <c r="Q4" s="12"/>
      <c r="R4" s="12"/>
    </row>
    <row r="5" customHeight="1" spans="1:18">
      <c r="A5" s="11" t="s">
        <v>199</v>
      </c>
      <c r="B5" s="11">
        <v>0.04</v>
      </c>
      <c r="C5" s="11">
        <f t="shared" si="0"/>
        <v>165</v>
      </c>
      <c r="E5" s="12">
        <v>26</v>
      </c>
      <c r="F5" s="12"/>
      <c r="G5" s="12">
        <v>99</v>
      </c>
      <c r="H5" s="12"/>
      <c r="I5" s="12"/>
      <c r="J5" s="12">
        <v>17</v>
      </c>
      <c r="K5" s="12">
        <v>23</v>
      </c>
      <c r="L5" s="12"/>
      <c r="M5" s="12"/>
      <c r="N5" s="12"/>
      <c r="O5" s="12"/>
      <c r="P5" s="12"/>
      <c r="Q5" s="12"/>
      <c r="R5" s="12"/>
    </row>
    <row r="6" customHeight="1" spans="1:18">
      <c r="A6" s="11" t="s">
        <v>200</v>
      </c>
      <c r="B6" s="11">
        <v>0.05</v>
      </c>
      <c r="C6" s="11">
        <f t="shared" si="0"/>
        <v>182</v>
      </c>
      <c r="E6" s="12">
        <v>33</v>
      </c>
      <c r="F6" s="12"/>
      <c r="G6" s="12">
        <v>108</v>
      </c>
      <c r="H6" s="12"/>
      <c r="I6" s="12"/>
      <c r="J6" s="12">
        <v>18</v>
      </c>
      <c r="K6" s="12">
        <v>23</v>
      </c>
      <c r="L6" s="12"/>
      <c r="M6" s="12"/>
      <c r="N6" s="12"/>
      <c r="O6" s="12"/>
      <c r="P6" s="12"/>
      <c r="Q6" s="12"/>
      <c r="R6" s="12"/>
    </row>
    <row r="7" customHeight="1" spans="1:18">
      <c r="A7" s="11" t="s">
        <v>201</v>
      </c>
      <c r="B7" s="11">
        <v>0.1</v>
      </c>
      <c r="C7" s="11">
        <f t="shared" si="0"/>
        <v>200</v>
      </c>
      <c r="E7" s="12">
        <v>36</v>
      </c>
      <c r="F7" s="12"/>
      <c r="G7" s="12">
        <v>121</v>
      </c>
      <c r="H7" s="12"/>
      <c r="I7" s="12"/>
      <c r="J7" s="12">
        <v>20</v>
      </c>
      <c r="K7" s="12">
        <v>23</v>
      </c>
      <c r="L7" s="12"/>
      <c r="M7" s="12"/>
      <c r="N7" s="12"/>
      <c r="O7" s="12"/>
      <c r="P7" s="12"/>
      <c r="Q7" s="12"/>
      <c r="R7" s="12"/>
    </row>
    <row r="8" customHeight="1" spans="1:18">
      <c r="A8" s="13" t="s">
        <v>202</v>
      </c>
      <c r="B8" s="13">
        <v>0.15</v>
      </c>
      <c r="C8" s="13">
        <f t="shared" si="0"/>
        <v>221</v>
      </c>
      <c r="E8" s="14">
        <v>38</v>
      </c>
      <c r="F8" s="14">
        <v>13</v>
      </c>
      <c r="G8" s="14">
        <v>126</v>
      </c>
      <c r="H8" s="14"/>
      <c r="I8" s="14"/>
      <c r="J8" s="14">
        <v>21</v>
      </c>
      <c r="K8" s="14">
        <v>23</v>
      </c>
      <c r="L8" s="14"/>
      <c r="M8" s="14"/>
      <c r="N8" s="14"/>
      <c r="O8" s="14"/>
      <c r="P8" s="14"/>
      <c r="Q8" s="14"/>
      <c r="R8" s="14"/>
    </row>
    <row r="9" customHeight="1" spans="1:18">
      <c r="A9" s="13" t="s">
        <v>203</v>
      </c>
      <c r="B9" s="13">
        <v>0.25</v>
      </c>
      <c r="C9" s="13">
        <f t="shared" si="0"/>
        <v>241</v>
      </c>
      <c r="E9" s="14">
        <v>43</v>
      </c>
      <c r="F9" s="14">
        <v>19</v>
      </c>
      <c r="G9" s="14">
        <v>132</v>
      </c>
      <c r="H9" s="14"/>
      <c r="I9" s="14"/>
      <c r="J9" s="14">
        <v>24</v>
      </c>
      <c r="K9" s="14">
        <v>23</v>
      </c>
      <c r="L9" s="14"/>
      <c r="M9" s="14"/>
      <c r="N9" s="14"/>
      <c r="O9" s="14"/>
      <c r="P9" s="14"/>
      <c r="Q9" s="14"/>
      <c r="R9" s="14"/>
    </row>
    <row r="10" customHeight="1" spans="1:18">
      <c r="A10" s="13" t="s">
        <v>204</v>
      </c>
      <c r="B10" s="13">
        <v>0.35</v>
      </c>
      <c r="C10" s="13">
        <f t="shared" si="0"/>
        <v>263</v>
      </c>
      <c r="E10" s="14">
        <v>43</v>
      </c>
      <c r="F10" s="14">
        <v>27</v>
      </c>
      <c r="G10" s="14">
        <v>143</v>
      </c>
      <c r="H10" s="14"/>
      <c r="I10" s="14"/>
      <c r="J10" s="14">
        <v>27</v>
      </c>
      <c r="K10" s="14">
        <v>23</v>
      </c>
      <c r="L10" s="14"/>
      <c r="M10" s="14"/>
      <c r="N10" s="14"/>
      <c r="O10" s="14"/>
      <c r="P10" s="14"/>
      <c r="Q10" s="14"/>
      <c r="R10" s="14"/>
    </row>
    <row r="11" customHeight="1" spans="1:18">
      <c r="A11" s="13" t="s">
        <v>205</v>
      </c>
      <c r="B11" s="13">
        <v>0.45</v>
      </c>
      <c r="C11" s="13">
        <f t="shared" si="0"/>
        <v>288</v>
      </c>
      <c r="E11" s="14">
        <v>43</v>
      </c>
      <c r="F11" s="14">
        <v>41</v>
      </c>
      <c r="G11" s="14">
        <v>150</v>
      </c>
      <c r="H11" s="14"/>
      <c r="I11" s="14"/>
      <c r="J11" s="14">
        <v>31</v>
      </c>
      <c r="K11" s="14">
        <v>23</v>
      </c>
      <c r="L11" s="14"/>
      <c r="M11" s="14"/>
      <c r="N11" s="14"/>
      <c r="O11" s="14"/>
      <c r="P11" s="14"/>
      <c r="Q11" s="14"/>
      <c r="R11" s="14"/>
    </row>
    <row r="12" customHeight="1" spans="1:18">
      <c r="A12" s="13" t="s">
        <v>206</v>
      </c>
      <c r="B12" s="13">
        <v>0.6</v>
      </c>
      <c r="C12" s="13">
        <f t="shared" si="0"/>
        <v>305</v>
      </c>
      <c r="E12" s="14">
        <v>43</v>
      </c>
      <c r="F12" s="14">
        <v>53</v>
      </c>
      <c r="G12" s="14">
        <v>150</v>
      </c>
      <c r="H12" s="14"/>
      <c r="I12" s="14"/>
      <c r="J12" s="14">
        <v>36</v>
      </c>
      <c r="K12" s="14">
        <v>23</v>
      </c>
      <c r="L12" s="14"/>
      <c r="M12" s="14"/>
      <c r="N12" s="14"/>
      <c r="O12" s="14"/>
      <c r="P12" s="14"/>
      <c r="Q12" s="14"/>
      <c r="R12" s="14"/>
    </row>
    <row r="13" customHeight="1" spans="1:18">
      <c r="A13" s="15" t="s">
        <v>207</v>
      </c>
      <c r="B13" s="15">
        <v>0.75</v>
      </c>
      <c r="C13" s="15">
        <f t="shared" si="0"/>
        <v>354</v>
      </c>
      <c r="E13" s="16">
        <v>51</v>
      </c>
      <c r="F13" s="16">
        <v>45</v>
      </c>
      <c r="G13" s="16">
        <v>154</v>
      </c>
      <c r="H13" s="16">
        <v>10</v>
      </c>
      <c r="I13" s="16">
        <v>7</v>
      </c>
      <c r="J13" s="16">
        <v>29</v>
      </c>
      <c r="K13" s="16">
        <v>34</v>
      </c>
      <c r="L13" s="16">
        <v>24</v>
      </c>
      <c r="M13" s="16"/>
      <c r="N13" s="16"/>
      <c r="O13" s="16"/>
      <c r="P13" s="16"/>
      <c r="Q13" s="16"/>
      <c r="R13" s="16"/>
    </row>
    <row r="14" customHeight="1" spans="1:18">
      <c r="A14" s="15" t="s">
        <v>208</v>
      </c>
      <c r="B14" s="15">
        <v>0.9</v>
      </c>
      <c r="C14" s="15">
        <f t="shared" si="0"/>
        <v>389</v>
      </c>
      <c r="E14" s="16">
        <v>47</v>
      </c>
      <c r="F14" s="16">
        <v>43</v>
      </c>
      <c r="G14" s="16">
        <v>157</v>
      </c>
      <c r="H14" s="16">
        <v>23</v>
      </c>
      <c r="I14" s="16">
        <v>20</v>
      </c>
      <c r="J14" s="16">
        <v>29</v>
      </c>
      <c r="K14" s="16">
        <v>39</v>
      </c>
      <c r="L14" s="16">
        <v>31</v>
      </c>
      <c r="M14" s="16"/>
      <c r="N14" s="16"/>
      <c r="O14" s="16"/>
      <c r="P14" s="16"/>
      <c r="Q14" s="16"/>
      <c r="R14" s="16"/>
    </row>
    <row r="15" customHeight="1" spans="1:18">
      <c r="A15" s="15" t="s">
        <v>209</v>
      </c>
      <c r="B15" s="15">
        <v>1.4</v>
      </c>
      <c r="C15" s="15">
        <f t="shared" si="0"/>
        <v>428</v>
      </c>
      <c r="E15" s="16">
        <v>37</v>
      </c>
      <c r="F15" s="16">
        <v>37</v>
      </c>
      <c r="G15" s="16">
        <v>164</v>
      </c>
      <c r="H15" s="16">
        <v>37</v>
      </c>
      <c r="I15" s="16">
        <v>37</v>
      </c>
      <c r="J15" s="16">
        <v>29</v>
      </c>
      <c r="K15" s="16">
        <v>46</v>
      </c>
      <c r="L15" s="16">
        <v>41</v>
      </c>
      <c r="M15" s="16"/>
      <c r="N15" s="16"/>
      <c r="O15" s="16"/>
      <c r="P15" s="16"/>
      <c r="Q15" s="16"/>
      <c r="R15" s="16"/>
    </row>
    <row r="16" customHeight="1" spans="1:18">
      <c r="A16" s="15" t="s">
        <v>210</v>
      </c>
      <c r="B16" s="15">
        <v>1.9</v>
      </c>
      <c r="C16" s="15">
        <f t="shared" si="0"/>
        <v>468</v>
      </c>
      <c r="E16" s="16">
        <v>20</v>
      </c>
      <c r="F16" s="16">
        <v>20</v>
      </c>
      <c r="G16" s="16">
        <v>173</v>
      </c>
      <c r="H16" s="16">
        <v>69</v>
      </c>
      <c r="I16" s="16">
        <v>59</v>
      </c>
      <c r="J16" s="16">
        <v>29</v>
      </c>
      <c r="K16" s="16">
        <v>49</v>
      </c>
      <c r="L16" s="16">
        <v>49</v>
      </c>
      <c r="M16" s="16"/>
      <c r="N16" s="16"/>
      <c r="O16" s="16"/>
      <c r="P16" s="16"/>
      <c r="Q16" s="16"/>
      <c r="R16" s="16"/>
    </row>
    <row r="17" customHeight="1" spans="1:18">
      <c r="A17" s="15" t="s">
        <v>211</v>
      </c>
      <c r="B17" s="15">
        <v>2.4</v>
      </c>
      <c r="C17" s="15">
        <f t="shared" si="0"/>
        <v>516</v>
      </c>
      <c r="E17" s="16">
        <v>11</v>
      </c>
      <c r="F17" s="16">
        <v>11</v>
      </c>
      <c r="G17" s="16">
        <v>183</v>
      </c>
      <c r="H17" s="16">
        <v>89</v>
      </c>
      <c r="I17" s="16">
        <v>77</v>
      </c>
      <c r="J17" s="16">
        <v>29</v>
      </c>
      <c r="K17" s="16">
        <v>55</v>
      </c>
      <c r="L17" s="16">
        <v>61</v>
      </c>
      <c r="M17" s="16"/>
      <c r="N17" s="16"/>
      <c r="O17" s="16"/>
      <c r="P17" s="16"/>
      <c r="Q17" s="16"/>
      <c r="R17" s="16"/>
    </row>
    <row r="18" customHeight="1" spans="1:18">
      <c r="A18" s="17" t="s">
        <v>212</v>
      </c>
      <c r="B18" s="17">
        <v>4.6</v>
      </c>
      <c r="C18" s="17">
        <f t="shared" si="0"/>
        <v>574</v>
      </c>
      <c r="E18" s="18"/>
      <c r="F18" s="18"/>
      <c r="G18" s="18">
        <v>182</v>
      </c>
      <c r="H18" s="18">
        <v>106</v>
      </c>
      <c r="I18" s="18">
        <v>89</v>
      </c>
      <c r="J18" s="18">
        <v>29</v>
      </c>
      <c r="K18" s="18">
        <v>56</v>
      </c>
      <c r="L18" s="18">
        <v>67</v>
      </c>
      <c r="M18" s="18">
        <v>17</v>
      </c>
      <c r="N18" s="18">
        <v>17</v>
      </c>
      <c r="O18" s="18"/>
      <c r="P18" s="18"/>
      <c r="Q18" s="18">
        <v>11</v>
      </c>
      <c r="R18" s="18"/>
    </row>
    <row r="19" customHeight="1" spans="1:18">
      <c r="A19" s="17" t="s">
        <v>213</v>
      </c>
      <c r="B19" s="17">
        <v>6.8</v>
      </c>
      <c r="C19" s="17">
        <f t="shared" si="0"/>
        <v>629</v>
      </c>
      <c r="E19" s="18"/>
      <c r="F19" s="18"/>
      <c r="G19" s="18">
        <v>182</v>
      </c>
      <c r="H19" s="18">
        <v>110</v>
      </c>
      <c r="I19" s="18">
        <v>98</v>
      </c>
      <c r="J19" s="18">
        <v>29</v>
      </c>
      <c r="K19" s="18">
        <v>61</v>
      </c>
      <c r="L19" s="18">
        <v>77</v>
      </c>
      <c r="M19" s="18">
        <v>24</v>
      </c>
      <c r="N19" s="18">
        <v>24</v>
      </c>
      <c r="O19" s="18"/>
      <c r="P19" s="18"/>
      <c r="Q19" s="18">
        <v>24</v>
      </c>
      <c r="R19" s="18"/>
    </row>
    <row r="20" customHeight="1" spans="1:18">
      <c r="A20" s="17" t="s">
        <v>214</v>
      </c>
      <c r="B20" s="17">
        <v>9</v>
      </c>
      <c r="C20" s="17">
        <f t="shared" si="0"/>
        <v>694</v>
      </c>
      <c r="E20" s="18"/>
      <c r="F20" s="18"/>
      <c r="G20" s="18">
        <v>182</v>
      </c>
      <c r="H20" s="18">
        <v>114</v>
      </c>
      <c r="I20" s="18">
        <v>107</v>
      </c>
      <c r="J20" s="18">
        <v>29</v>
      </c>
      <c r="K20" s="18">
        <v>67</v>
      </c>
      <c r="L20" s="18">
        <v>88</v>
      </c>
      <c r="M20" s="18">
        <v>40</v>
      </c>
      <c r="N20" s="18">
        <v>27</v>
      </c>
      <c r="O20" s="18"/>
      <c r="P20" s="18"/>
      <c r="Q20" s="18">
        <v>40</v>
      </c>
      <c r="R20" s="18"/>
    </row>
    <row r="21" customHeight="1" spans="1:18">
      <c r="A21" s="17" t="s">
        <v>215</v>
      </c>
      <c r="B21" s="17">
        <v>12</v>
      </c>
      <c r="C21" s="17">
        <f t="shared" si="0"/>
        <v>764</v>
      </c>
      <c r="E21" s="18"/>
      <c r="F21" s="18"/>
      <c r="G21" s="18">
        <v>182</v>
      </c>
      <c r="H21" s="18">
        <v>117</v>
      </c>
      <c r="I21" s="18">
        <v>117</v>
      </c>
      <c r="J21" s="18">
        <v>29</v>
      </c>
      <c r="K21" s="18">
        <v>73</v>
      </c>
      <c r="L21" s="18">
        <v>99</v>
      </c>
      <c r="M21" s="18">
        <v>59</v>
      </c>
      <c r="N21" s="18">
        <v>29</v>
      </c>
      <c r="O21" s="18"/>
      <c r="P21" s="18"/>
      <c r="Q21" s="18">
        <v>59</v>
      </c>
      <c r="R21" s="18"/>
    </row>
    <row r="22" customHeight="1" spans="1:18">
      <c r="A22" s="17" t="s">
        <v>216</v>
      </c>
      <c r="B22" s="17">
        <v>15</v>
      </c>
      <c r="C22" s="17">
        <f t="shared" si="0"/>
        <v>845</v>
      </c>
      <c r="E22" s="18"/>
      <c r="F22" s="18"/>
      <c r="G22" s="18">
        <v>182</v>
      </c>
      <c r="H22" s="18">
        <v>119</v>
      </c>
      <c r="I22" s="18">
        <v>127</v>
      </c>
      <c r="J22" s="18">
        <v>29</v>
      </c>
      <c r="K22" s="18">
        <v>79</v>
      </c>
      <c r="L22" s="18">
        <v>111</v>
      </c>
      <c r="M22" s="18">
        <v>79</v>
      </c>
      <c r="N22" s="18">
        <v>40</v>
      </c>
      <c r="O22" s="18"/>
      <c r="P22" s="18"/>
      <c r="Q22" s="18">
        <v>79</v>
      </c>
      <c r="R22" s="18"/>
    </row>
    <row r="23" customHeight="1" spans="1:18">
      <c r="A23" s="19" t="s">
        <v>217</v>
      </c>
      <c r="B23" s="19">
        <v>18</v>
      </c>
      <c r="C23" s="19">
        <f t="shared" si="0"/>
        <v>934</v>
      </c>
      <c r="E23" s="20"/>
      <c r="F23" s="20"/>
      <c r="G23" s="20">
        <v>182</v>
      </c>
      <c r="H23" s="20">
        <v>127</v>
      </c>
      <c r="I23" s="20">
        <v>135</v>
      </c>
      <c r="J23" s="20">
        <v>29</v>
      </c>
      <c r="K23" s="20">
        <v>85</v>
      </c>
      <c r="L23" s="20">
        <v>122</v>
      </c>
      <c r="M23" s="20">
        <v>85</v>
      </c>
      <c r="N23" s="20">
        <v>42</v>
      </c>
      <c r="O23" s="20">
        <v>17</v>
      </c>
      <c r="P23" s="20">
        <v>8</v>
      </c>
      <c r="Q23" s="20">
        <v>102</v>
      </c>
      <c r="R23" s="20"/>
    </row>
    <row r="24" customHeight="1" spans="1:18">
      <c r="A24" s="19" t="s">
        <v>218</v>
      </c>
      <c r="B24" s="19">
        <v>23</v>
      </c>
      <c r="C24" s="19">
        <f t="shared" si="0"/>
        <v>1025</v>
      </c>
      <c r="E24" s="20"/>
      <c r="F24" s="20"/>
      <c r="G24" s="20">
        <v>182</v>
      </c>
      <c r="H24" s="20">
        <v>140</v>
      </c>
      <c r="I24" s="20">
        <v>131</v>
      </c>
      <c r="J24" s="20">
        <v>29</v>
      </c>
      <c r="K24" s="20">
        <v>94</v>
      </c>
      <c r="L24" s="20">
        <v>139</v>
      </c>
      <c r="M24" s="20">
        <v>94</v>
      </c>
      <c r="N24" s="20">
        <v>47</v>
      </c>
      <c r="O24" s="20">
        <v>19</v>
      </c>
      <c r="P24" s="20">
        <v>19</v>
      </c>
      <c r="Q24" s="20">
        <v>131</v>
      </c>
      <c r="R24" s="20"/>
    </row>
    <row r="25" customHeight="1" spans="1:18">
      <c r="A25" s="19" t="s">
        <v>219</v>
      </c>
      <c r="B25" s="19">
        <v>28</v>
      </c>
      <c r="C25" s="19">
        <f t="shared" si="0"/>
        <v>1123</v>
      </c>
      <c r="E25" s="20"/>
      <c r="F25" s="20"/>
      <c r="G25" s="20">
        <v>182</v>
      </c>
      <c r="H25" s="20">
        <v>145</v>
      </c>
      <c r="I25" s="20">
        <v>134</v>
      </c>
      <c r="J25" s="20">
        <v>29</v>
      </c>
      <c r="K25" s="20">
        <v>103</v>
      </c>
      <c r="L25" s="20">
        <v>158</v>
      </c>
      <c r="M25" s="20">
        <v>103</v>
      </c>
      <c r="N25" s="20">
        <v>52</v>
      </c>
      <c r="O25" s="20">
        <v>21</v>
      </c>
      <c r="P25" s="20">
        <v>31</v>
      </c>
      <c r="Q25" s="20">
        <v>165</v>
      </c>
      <c r="R25" s="20"/>
    </row>
    <row r="26" customHeight="1" spans="1:18">
      <c r="A26" s="19" t="s">
        <v>220</v>
      </c>
      <c r="B26" s="19">
        <v>33</v>
      </c>
      <c r="C26" s="19">
        <f t="shared" si="0"/>
        <v>1236</v>
      </c>
      <c r="E26" s="20"/>
      <c r="F26" s="20"/>
      <c r="G26" s="20">
        <v>182</v>
      </c>
      <c r="H26" s="20">
        <v>147</v>
      </c>
      <c r="I26" s="20">
        <v>136</v>
      </c>
      <c r="J26" s="20">
        <v>29</v>
      </c>
      <c r="K26" s="20">
        <v>113</v>
      </c>
      <c r="L26" s="20">
        <v>178</v>
      </c>
      <c r="M26" s="20">
        <v>124</v>
      </c>
      <c r="N26" s="20">
        <v>56</v>
      </c>
      <c r="O26" s="20">
        <v>23</v>
      </c>
      <c r="P26" s="20">
        <v>45</v>
      </c>
      <c r="Q26" s="20">
        <v>203</v>
      </c>
      <c r="R26" s="20"/>
    </row>
    <row r="27" customHeight="1" spans="1:18">
      <c r="A27" s="19" t="s">
        <v>221</v>
      </c>
      <c r="B27" s="19">
        <v>40</v>
      </c>
      <c r="C27" s="19">
        <f t="shared" si="0"/>
        <v>1360</v>
      </c>
      <c r="E27" s="20"/>
      <c r="F27" s="20"/>
      <c r="G27" s="20">
        <v>182</v>
      </c>
      <c r="H27" s="20">
        <v>146</v>
      </c>
      <c r="I27" s="20">
        <v>146</v>
      </c>
      <c r="J27" s="20">
        <v>29</v>
      </c>
      <c r="K27" s="20">
        <v>122</v>
      </c>
      <c r="L27" s="20">
        <v>199</v>
      </c>
      <c r="M27" s="20">
        <v>134</v>
      </c>
      <c r="N27" s="20">
        <v>73</v>
      </c>
      <c r="O27" s="20">
        <v>24</v>
      </c>
      <c r="P27" s="20">
        <v>61</v>
      </c>
      <c r="Q27" s="20">
        <v>244</v>
      </c>
      <c r="R27" s="20"/>
    </row>
    <row r="28" customHeight="1" spans="1:18">
      <c r="A28" s="19" t="s">
        <v>222</v>
      </c>
      <c r="B28" s="19">
        <v>47</v>
      </c>
      <c r="C28" s="19">
        <f t="shared" si="0"/>
        <v>1502</v>
      </c>
      <c r="E28" s="20"/>
      <c r="F28" s="20"/>
      <c r="G28" s="20">
        <v>181</v>
      </c>
      <c r="H28" s="20">
        <v>161</v>
      </c>
      <c r="I28" s="20">
        <v>155</v>
      </c>
      <c r="J28" s="20">
        <v>29</v>
      </c>
      <c r="K28" s="20">
        <v>129</v>
      </c>
      <c r="L28" s="20">
        <v>215</v>
      </c>
      <c r="M28" s="20">
        <v>155</v>
      </c>
      <c r="N28" s="20">
        <v>90</v>
      </c>
      <c r="O28" s="20">
        <v>26</v>
      </c>
      <c r="P28" s="20">
        <v>77</v>
      </c>
      <c r="Q28" s="20">
        <v>284</v>
      </c>
      <c r="R28" s="20"/>
    </row>
    <row r="29" customHeight="1" spans="1:18">
      <c r="A29" s="19" t="s">
        <v>223</v>
      </c>
      <c r="B29" s="19">
        <v>52</v>
      </c>
      <c r="C29" s="19">
        <f t="shared" si="0"/>
        <v>1649</v>
      </c>
      <c r="E29" s="20"/>
      <c r="F29" s="20"/>
      <c r="G29" s="20">
        <v>170</v>
      </c>
      <c r="H29" s="20">
        <v>161</v>
      </c>
      <c r="I29" s="20">
        <v>170</v>
      </c>
      <c r="J29" s="20">
        <v>29</v>
      </c>
      <c r="K29" s="20">
        <v>141</v>
      </c>
      <c r="L29" s="20">
        <v>243</v>
      </c>
      <c r="M29" s="20">
        <v>170</v>
      </c>
      <c r="N29" s="20">
        <v>113</v>
      </c>
      <c r="O29" s="20">
        <v>28</v>
      </c>
      <c r="P29" s="20">
        <v>85</v>
      </c>
      <c r="Q29" s="20">
        <v>339</v>
      </c>
      <c r="R29" s="20"/>
    </row>
    <row r="30" customHeight="1" spans="1:18">
      <c r="A30" s="19" t="s">
        <v>224</v>
      </c>
      <c r="B30" s="19">
        <v>60</v>
      </c>
      <c r="C30" s="19">
        <f t="shared" si="0"/>
        <v>1816</v>
      </c>
      <c r="E30" s="20"/>
      <c r="F30" s="20"/>
      <c r="G30" s="20">
        <v>154</v>
      </c>
      <c r="H30" s="20">
        <v>161</v>
      </c>
      <c r="I30" s="20">
        <v>185</v>
      </c>
      <c r="J30" s="20">
        <v>29</v>
      </c>
      <c r="K30" s="20">
        <v>154</v>
      </c>
      <c r="L30" s="20">
        <v>271</v>
      </c>
      <c r="M30" s="20">
        <v>185</v>
      </c>
      <c r="N30" s="20">
        <v>138</v>
      </c>
      <c r="O30" s="20">
        <v>31</v>
      </c>
      <c r="P30" s="20">
        <v>108</v>
      </c>
      <c r="Q30" s="20">
        <v>400</v>
      </c>
      <c r="R30" s="20"/>
    </row>
    <row r="31" customHeight="1" spans="1:18">
      <c r="A31" s="19" t="s">
        <v>225</v>
      </c>
      <c r="B31" s="19">
        <v>68</v>
      </c>
      <c r="C31" s="19">
        <f t="shared" si="0"/>
        <v>1998</v>
      </c>
      <c r="E31" s="20"/>
      <c r="F31" s="20"/>
      <c r="G31" s="20">
        <v>132</v>
      </c>
      <c r="H31" s="20">
        <v>161</v>
      </c>
      <c r="I31" s="20">
        <v>199</v>
      </c>
      <c r="J31" s="20">
        <v>29</v>
      </c>
      <c r="K31" s="20">
        <v>166</v>
      </c>
      <c r="L31" s="20">
        <v>300</v>
      </c>
      <c r="M31" s="20">
        <v>199</v>
      </c>
      <c r="N31" s="20">
        <v>166</v>
      </c>
      <c r="O31" s="20">
        <v>33</v>
      </c>
      <c r="P31" s="20">
        <v>149</v>
      </c>
      <c r="Q31" s="20">
        <v>464</v>
      </c>
      <c r="R31" s="20"/>
    </row>
    <row r="32" customHeight="1" spans="1:18">
      <c r="A32" s="19" t="s">
        <v>226</v>
      </c>
      <c r="B32" s="19">
        <v>76</v>
      </c>
      <c r="C32" s="19">
        <f t="shared" si="0"/>
        <v>2197</v>
      </c>
      <c r="E32" s="20"/>
      <c r="F32" s="20"/>
      <c r="G32" s="20">
        <v>107</v>
      </c>
      <c r="H32" s="20">
        <v>161</v>
      </c>
      <c r="I32" s="20">
        <v>215</v>
      </c>
      <c r="J32" s="20">
        <v>29</v>
      </c>
      <c r="K32" s="20">
        <v>179</v>
      </c>
      <c r="L32" s="20">
        <v>324</v>
      </c>
      <c r="M32" s="20">
        <v>233</v>
      </c>
      <c r="N32" s="20">
        <v>179</v>
      </c>
      <c r="O32" s="20">
        <v>36</v>
      </c>
      <c r="P32" s="20">
        <v>197</v>
      </c>
      <c r="Q32" s="20">
        <v>537</v>
      </c>
      <c r="R32" s="20"/>
    </row>
    <row r="33" customHeight="1" spans="1:18">
      <c r="A33" s="21" t="s">
        <v>227</v>
      </c>
      <c r="B33" s="21">
        <v>88</v>
      </c>
      <c r="C33" s="21">
        <f t="shared" si="0"/>
        <v>2434</v>
      </c>
      <c r="E33" s="22"/>
      <c r="F33" s="22"/>
      <c r="G33" s="22"/>
      <c r="H33" s="22">
        <v>161</v>
      </c>
      <c r="I33" s="22">
        <v>207</v>
      </c>
      <c r="J33" s="22">
        <v>29</v>
      </c>
      <c r="K33" s="22">
        <v>216</v>
      </c>
      <c r="L33" s="22">
        <v>374</v>
      </c>
      <c r="M33" s="22">
        <v>269</v>
      </c>
      <c r="N33" s="22">
        <v>207</v>
      </c>
      <c r="O33" s="22">
        <v>62</v>
      </c>
      <c r="P33" s="22">
        <v>269</v>
      </c>
      <c r="Q33" s="22">
        <v>640</v>
      </c>
      <c r="R33" s="22"/>
    </row>
    <row r="34" customHeight="1" spans="1:18">
      <c r="A34" s="21" t="s">
        <v>228</v>
      </c>
      <c r="B34" s="21">
        <v>110</v>
      </c>
      <c r="C34" s="21">
        <f t="shared" si="0"/>
        <v>2710</v>
      </c>
      <c r="E34" s="22"/>
      <c r="F34" s="22"/>
      <c r="G34" s="22"/>
      <c r="H34" s="22">
        <v>161</v>
      </c>
      <c r="I34" s="22">
        <v>238</v>
      </c>
      <c r="J34" s="22">
        <v>29</v>
      </c>
      <c r="K34" s="22">
        <v>216</v>
      </c>
      <c r="L34" s="22">
        <v>406</v>
      </c>
      <c r="M34" s="22">
        <v>314</v>
      </c>
      <c r="N34" s="22">
        <v>224</v>
      </c>
      <c r="O34" s="22">
        <v>90</v>
      </c>
      <c r="P34" s="22">
        <v>314</v>
      </c>
      <c r="Q34" s="22">
        <v>718</v>
      </c>
      <c r="R34" s="22"/>
    </row>
    <row r="35" customHeight="1" spans="1:18">
      <c r="A35" s="21" t="s">
        <v>229</v>
      </c>
      <c r="B35" s="21">
        <v>120</v>
      </c>
      <c r="C35" s="21">
        <f t="shared" si="0"/>
        <v>2970</v>
      </c>
      <c r="E35" s="22"/>
      <c r="F35" s="22"/>
      <c r="G35" s="22"/>
      <c r="H35" s="22">
        <v>161</v>
      </c>
      <c r="I35" s="22">
        <v>238</v>
      </c>
      <c r="J35" s="22">
        <v>29</v>
      </c>
      <c r="K35" s="22">
        <v>216</v>
      </c>
      <c r="L35" s="22">
        <v>447</v>
      </c>
      <c r="M35" s="22">
        <v>346</v>
      </c>
      <c r="N35" s="22">
        <v>247</v>
      </c>
      <c r="O35" s="22">
        <v>124</v>
      </c>
      <c r="P35" s="22">
        <v>346</v>
      </c>
      <c r="Q35" s="22">
        <v>816</v>
      </c>
      <c r="R35" s="22"/>
    </row>
    <row r="36" customHeight="1" spans="1:18">
      <c r="A36" s="21" t="s">
        <v>230</v>
      </c>
      <c r="B36" s="21">
        <v>130</v>
      </c>
      <c r="C36" s="21">
        <f t="shared" si="0"/>
        <v>3253</v>
      </c>
      <c r="E36" s="22"/>
      <c r="F36" s="22"/>
      <c r="G36" s="22"/>
      <c r="H36" s="22">
        <v>161</v>
      </c>
      <c r="I36" s="22">
        <v>238</v>
      </c>
      <c r="J36" s="22">
        <v>29</v>
      </c>
      <c r="K36" s="22">
        <v>216</v>
      </c>
      <c r="L36" s="22">
        <v>497</v>
      </c>
      <c r="M36" s="22">
        <v>384</v>
      </c>
      <c r="N36" s="22">
        <v>274</v>
      </c>
      <c r="O36" s="22">
        <v>137</v>
      </c>
      <c r="P36" s="22">
        <v>384</v>
      </c>
      <c r="Q36" s="22">
        <v>933</v>
      </c>
      <c r="R36" s="22"/>
    </row>
    <row r="37" customHeight="1" spans="1:18">
      <c r="A37" s="21" t="s">
        <v>231</v>
      </c>
      <c r="B37" s="21">
        <v>145</v>
      </c>
      <c r="C37" s="21">
        <f t="shared" si="0"/>
        <v>3566</v>
      </c>
      <c r="E37" s="22"/>
      <c r="F37" s="22"/>
      <c r="G37" s="22"/>
      <c r="H37" s="22">
        <v>161</v>
      </c>
      <c r="I37" s="22">
        <v>238</v>
      </c>
      <c r="J37" s="22">
        <v>29</v>
      </c>
      <c r="K37" s="22">
        <v>216</v>
      </c>
      <c r="L37" s="22">
        <v>550</v>
      </c>
      <c r="M37" s="22">
        <v>426</v>
      </c>
      <c r="N37" s="22">
        <v>304</v>
      </c>
      <c r="O37" s="22">
        <v>152</v>
      </c>
      <c r="P37" s="22">
        <v>426</v>
      </c>
      <c r="Q37" s="22">
        <v>1064</v>
      </c>
      <c r="R37" s="22"/>
    </row>
    <row r="38" customHeight="1" spans="1:18">
      <c r="A38" s="21" t="s">
        <v>232</v>
      </c>
      <c r="B38" s="21">
        <v>160</v>
      </c>
      <c r="C38" s="21">
        <f t="shared" si="0"/>
        <v>3905</v>
      </c>
      <c r="E38" s="22"/>
      <c r="F38" s="22"/>
      <c r="G38" s="22"/>
      <c r="H38" s="22">
        <v>161</v>
      </c>
      <c r="I38" s="22">
        <v>238</v>
      </c>
      <c r="J38" s="22">
        <v>29</v>
      </c>
      <c r="K38" s="22">
        <v>216</v>
      </c>
      <c r="L38" s="22">
        <v>614</v>
      </c>
      <c r="M38" s="22">
        <v>441</v>
      </c>
      <c r="N38" s="22">
        <v>339</v>
      </c>
      <c r="O38" s="22">
        <v>204</v>
      </c>
      <c r="P38" s="22">
        <v>475</v>
      </c>
      <c r="Q38" s="22">
        <v>1188</v>
      </c>
      <c r="R38" s="22"/>
    </row>
    <row r="39" customHeight="1" spans="1:18">
      <c r="A39" s="21" t="s">
        <v>233</v>
      </c>
      <c r="B39" s="21">
        <v>175</v>
      </c>
      <c r="C39" s="21">
        <f t="shared" si="0"/>
        <v>4287</v>
      </c>
      <c r="E39" s="22"/>
      <c r="F39" s="22"/>
      <c r="G39" s="22"/>
      <c r="H39" s="22">
        <v>161</v>
      </c>
      <c r="I39" s="22">
        <v>238</v>
      </c>
      <c r="J39" s="22">
        <v>29</v>
      </c>
      <c r="K39" s="22">
        <v>216</v>
      </c>
      <c r="L39" s="22">
        <v>679</v>
      </c>
      <c r="M39" s="22">
        <v>488</v>
      </c>
      <c r="N39" s="22">
        <v>375</v>
      </c>
      <c r="O39" s="22">
        <v>225</v>
      </c>
      <c r="P39" s="22">
        <v>563</v>
      </c>
      <c r="Q39" s="22">
        <v>1313</v>
      </c>
      <c r="R39" s="22"/>
    </row>
    <row r="40" customHeight="1" spans="1:18">
      <c r="A40" s="21" t="s">
        <v>234</v>
      </c>
      <c r="B40" s="21">
        <v>190</v>
      </c>
      <c r="C40" s="21">
        <f t="shared" si="0"/>
        <v>4701</v>
      </c>
      <c r="E40" s="22"/>
      <c r="F40" s="22"/>
      <c r="G40" s="22"/>
      <c r="H40" s="22">
        <v>161</v>
      </c>
      <c r="I40" s="22">
        <v>238</v>
      </c>
      <c r="J40" s="22">
        <v>29</v>
      </c>
      <c r="K40" s="22">
        <v>216</v>
      </c>
      <c r="L40" s="22">
        <v>756</v>
      </c>
      <c r="M40" s="22">
        <v>543</v>
      </c>
      <c r="N40" s="22">
        <v>418</v>
      </c>
      <c r="O40" s="22">
        <v>251</v>
      </c>
      <c r="P40" s="22">
        <v>627</v>
      </c>
      <c r="Q40" s="22">
        <v>1462</v>
      </c>
      <c r="R40" s="22"/>
    </row>
    <row r="41" customHeight="1" spans="1:18">
      <c r="A41" s="21" t="s">
        <v>235</v>
      </c>
      <c r="B41" s="21">
        <v>205</v>
      </c>
      <c r="C41" s="21">
        <f t="shared" si="0"/>
        <v>5157</v>
      </c>
      <c r="E41" s="22"/>
      <c r="F41" s="22"/>
      <c r="G41" s="22"/>
      <c r="H41" s="22">
        <v>161</v>
      </c>
      <c r="I41" s="22">
        <v>238</v>
      </c>
      <c r="J41" s="22">
        <v>29</v>
      </c>
      <c r="K41" s="22">
        <v>216</v>
      </c>
      <c r="L41" s="22">
        <v>841</v>
      </c>
      <c r="M41" s="22">
        <v>604</v>
      </c>
      <c r="N41" s="22">
        <v>465</v>
      </c>
      <c r="O41" s="22">
        <v>279</v>
      </c>
      <c r="P41" s="22">
        <v>697</v>
      </c>
      <c r="Q41" s="22">
        <v>1627</v>
      </c>
      <c r="R41" s="22"/>
    </row>
    <row r="42" customHeight="1" spans="1:18">
      <c r="A42" s="21" t="s">
        <v>236</v>
      </c>
      <c r="B42" s="21">
        <v>225</v>
      </c>
      <c r="C42" s="21">
        <f t="shared" si="0"/>
        <v>5667</v>
      </c>
      <c r="E42" s="22"/>
      <c r="F42" s="22"/>
      <c r="G42" s="22"/>
      <c r="H42" s="22">
        <v>161</v>
      </c>
      <c r="I42" s="22">
        <v>238</v>
      </c>
      <c r="J42" s="22">
        <v>29</v>
      </c>
      <c r="K42" s="22">
        <v>216</v>
      </c>
      <c r="L42" s="22">
        <v>927</v>
      </c>
      <c r="M42" s="22">
        <v>666</v>
      </c>
      <c r="N42" s="22">
        <v>512</v>
      </c>
      <c r="O42" s="22">
        <v>358</v>
      </c>
      <c r="P42" s="22">
        <v>768</v>
      </c>
      <c r="Q42" s="22">
        <v>1792</v>
      </c>
      <c r="R42" s="22"/>
    </row>
    <row r="43" customHeight="1" spans="1:18">
      <c r="A43" s="23" t="s">
        <v>237</v>
      </c>
      <c r="B43" s="23">
        <v>245</v>
      </c>
      <c r="C43" s="23">
        <f t="shared" si="0"/>
        <v>6211</v>
      </c>
      <c r="E43" s="24"/>
      <c r="F43" s="24"/>
      <c r="G43" s="24"/>
      <c r="H43" s="24"/>
      <c r="I43" s="24">
        <v>238</v>
      </c>
      <c r="J43" s="24">
        <v>29</v>
      </c>
      <c r="K43" s="24">
        <v>216</v>
      </c>
      <c r="L43" s="24">
        <v>964</v>
      </c>
      <c r="M43" s="24">
        <v>681</v>
      </c>
      <c r="N43" s="24">
        <v>567</v>
      </c>
      <c r="O43" s="24">
        <v>454</v>
      </c>
      <c r="P43" s="24">
        <v>851</v>
      </c>
      <c r="Q43" s="24">
        <v>2098</v>
      </c>
      <c r="R43" s="24">
        <v>113</v>
      </c>
    </row>
    <row r="44" customHeight="1" spans="1:18">
      <c r="A44" s="23" t="s">
        <v>238</v>
      </c>
      <c r="B44" s="23">
        <v>265</v>
      </c>
      <c r="C44" s="23">
        <f t="shared" si="0"/>
        <v>6829</v>
      </c>
      <c r="E44" s="24"/>
      <c r="F44" s="24"/>
      <c r="G44" s="24"/>
      <c r="H44" s="24"/>
      <c r="I44" s="24">
        <v>238</v>
      </c>
      <c r="J44" s="24">
        <v>29</v>
      </c>
      <c r="K44" s="24">
        <v>216</v>
      </c>
      <c r="L44" s="24">
        <v>995</v>
      </c>
      <c r="M44" s="24">
        <v>747</v>
      </c>
      <c r="N44" s="24">
        <v>622</v>
      </c>
      <c r="O44" s="24">
        <v>560</v>
      </c>
      <c r="P44" s="24">
        <v>871</v>
      </c>
      <c r="Q44" s="24">
        <v>2364</v>
      </c>
      <c r="R44" s="24">
        <v>187</v>
      </c>
    </row>
    <row r="45" customHeight="1" spans="1:18">
      <c r="A45" s="23" t="s">
        <v>239</v>
      </c>
      <c r="B45" s="23">
        <v>285</v>
      </c>
      <c r="C45" s="23">
        <f t="shared" si="0"/>
        <v>7509</v>
      </c>
      <c r="E45" s="24"/>
      <c r="F45" s="24"/>
      <c r="G45" s="24"/>
      <c r="H45" s="24"/>
      <c r="I45" s="24">
        <v>238</v>
      </c>
      <c r="J45" s="24">
        <v>29</v>
      </c>
      <c r="K45" s="24">
        <v>216</v>
      </c>
      <c r="L45" s="24">
        <v>1023</v>
      </c>
      <c r="M45" s="24">
        <v>819</v>
      </c>
      <c r="N45" s="24">
        <v>682</v>
      </c>
      <c r="O45" s="24">
        <v>682</v>
      </c>
      <c r="P45" s="24">
        <v>887</v>
      </c>
      <c r="Q45" s="24">
        <v>2660</v>
      </c>
      <c r="R45" s="24">
        <v>273</v>
      </c>
    </row>
    <row r="46" customHeight="1" spans="1:18">
      <c r="A46" s="23" t="s">
        <v>240</v>
      </c>
      <c r="B46" s="23">
        <v>305</v>
      </c>
      <c r="C46" s="23">
        <f t="shared" si="0"/>
        <v>8261</v>
      </c>
      <c r="E46" s="24"/>
      <c r="F46" s="24"/>
      <c r="G46" s="24"/>
      <c r="H46" s="24"/>
      <c r="I46" s="24">
        <v>238</v>
      </c>
      <c r="J46" s="24">
        <v>29</v>
      </c>
      <c r="K46" s="24">
        <v>216</v>
      </c>
      <c r="L46" s="24">
        <v>1111</v>
      </c>
      <c r="M46" s="24">
        <v>889</v>
      </c>
      <c r="N46" s="24">
        <v>741</v>
      </c>
      <c r="O46" s="24">
        <v>741</v>
      </c>
      <c r="P46" s="24">
        <v>963</v>
      </c>
      <c r="Q46" s="24">
        <v>2963</v>
      </c>
      <c r="R46" s="24">
        <v>370</v>
      </c>
    </row>
    <row r="47" customHeight="1" spans="1:18">
      <c r="A47" s="23" t="s">
        <v>241</v>
      </c>
      <c r="B47" s="23">
        <v>325</v>
      </c>
      <c r="C47" s="23">
        <f t="shared" si="0"/>
        <v>9081</v>
      </c>
      <c r="E47" s="24"/>
      <c r="F47" s="24"/>
      <c r="G47" s="24"/>
      <c r="H47" s="24"/>
      <c r="I47" s="24">
        <v>238</v>
      </c>
      <c r="J47" s="24">
        <v>29</v>
      </c>
      <c r="K47" s="24">
        <v>216</v>
      </c>
      <c r="L47" s="24">
        <v>1228</v>
      </c>
      <c r="M47" s="24">
        <v>983</v>
      </c>
      <c r="N47" s="24">
        <v>819</v>
      </c>
      <c r="O47" s="24">
        <v>819</v>
      </c>
      <c r="P47" s="24">
        <v>1065</v>
      </c>
      <c r="Q47" s="24">
        <v>3275</v>
      </c>
      <c r="R47" s="24">
        <v>409</v>
      </c>
    </row>
    <row r="48" customHeight="1" spans="1:18">
      <c r="A48" s="25" t="s">
        <v>242</v>
      </c>
      <c r="B48" s="25">
        <v>350</v>
      </c>
      <c r="C48" s="25">
        <f t="shared" si="0"/>
        <v>9955</v>
      </c>
      <c r="E48" s="26"/>
      <c r="F48" s="26"/>
      <c r="G48" s="26"/>
      <c r="H48" s="26"/>
      <c r="I48" s="26"/>
      <c r="J48" s="26">
        <v>29</v>
      </c>
      <c r="K48" s="26">
        <v>216</v>
      </c>
      <c r="L48" s="26">
        <v>1400</v>
      </c>
      <c r="M48" s="26">
        <v>1027</v>
      </c>
      <c r="N48" s="26">
        <v>934</v>
      </c>
      <c r="O48" s="26">
        <v>934</v>
      </c>
      <c r="P48" s="26">
        <v>1214</v>
      </c>
      <c r="Q48" s="26">
        <v>3734</v>
      </c>
      <c r="R48" s="26">
        <v>467</v>
      </c>
    </row>
    <row r="49" customHeight="1" spans="1:18">
      <c r="A49" s="25" t="s">
        <v>243</v>
      </c>
      <c r="B49" s="25">
        <v>375</v>
      </c>
      <c r="C49" s="25">
        <f t="shared" si="0"/>
        <v>10948</v>
      </c>
      <c r="E49" s="26"/>
      <c r="F49" s="26"/>
      <c r="G49" s="26"/>
      <c r="H49" s="26"/>
      <c r="I49" s="26"/>
      <c r="J49" s="26">
        <v>29</v>
      </c>
      <c r="K49" s="26">
        <v>216</v>
      </c>
      <c r="L49" s="26">
        <v>1544</v>
      </c>
      <c r="M49" s="26">
        <v>1132</v>
      </c>
      <c r="N49" s="26">
        <v>1029</v>
      </c>
      <c r="O49" s="26">
        <v>1029</v>
      </c>
      <c r="P49" s="26">
        <v>1338</v>
      </c>
      <c r="Q49" s="26">
        <v>4116</v>
      </c>
      <c r="R49" s="26">
        <v>515</v>
      </c>
    </row>
    <row r="50" customHeight="1" spans="1:18">
      <c r="A50" s="25" t="s">
        <v>244</v>
      </c>
      <c r="B50" s="25">
        <v>400</v>
      </c>
      <c r="C50" s="25">
        <f t="shared" si="0"/>
        <v>12040</v>
      </c>
      <c r="E50" s="26"/>
      <c r="F50" s="26"/>
      <c r="G50" s="26"/>
      <c r="H50" s="26"/>
      <c r="I50" s="26"/>
      <c r="J50" s="26">
        <v>29</v>
      </c>
      <c r="K50" s="26">
        <v>216</v>
      </c>
      <c r="L50" s="26">
        <v>1701</v>
      </c>
      <c r="M50" s="26">
        <v>1248</v>
      </c>
      <c r="N50" s="26">
        <v>1134</v>
      </c>
      <c r="O50" s="26">
        <v>1134</v>
      </c>
      <c r="P50" s="26">
        <v>1474</v>
      </c>
      <c r="Q50" s="26">
        <v>4537</v>
      </c>
      <c r="R50" s="26">
        <v>567</v>
      </c>
    </row>
    <row r="51" customHeight="1" spans="1:18">
      <c r="A51" s="25" t="s">
        <v>245</v>
      </c>
      <c r="B51" s="25">
        <v>425</v>
      </c>
      <c r="C51" s="25">
        <f t="shared" si="0"/>
        <v>13244</v>
      </c>
      <c r="E51" s="26"/>
      <c r="F51" s="26"/>
      <c r="G51" s="26"/>
      <c r="H51" s="26"/>
      <c r="I51" s="26"/>
      <c r="J51" s="26">
        <v>29</v>
      </c>
      <c r="K51" s="26">
        <v>216</v>
      </c>
      <c r="L51" s="26">
        <v>1875</v>
      </c>
      <c r="M51" s="26">
        <v>1375</v>
      </c>
      <c r="N51" s="26">
        <v>1250</v>
      </c>
      <c r="O51" s="26">
        <v>1250</v>
      </c>
      <c r="P51" s="26">
        <v>1625</v>
      </c>
      <c r="Q51" s="26">
        <v>4999</v>
      </c>
      <c r="R51" s="26">
        <v>625</v>
      </c>
    </row>
    <row r="52" customHeight="1" spans="1:18">
      <c r="A52" s="25" t="s">
        <v>246</v>
      </c>
      <c r="B52" s="25">
        <v>450</v>
      </c>
      <c r="C52" s="25">
        <f t="shared" si="0"/>
        <v>14566</v>
      </c>
      <c r="E52" s="26"/>
      <c r="F52" s="26"/>
      <c r="G52" s="26"/>
      <c r="H52" s="26"/>
      <c r="I52" s="26"/>
      <c r="J52" s="26">
        <v>29</v>
      </c>
      <c r="K52" s="26">
        <v>216</v>
      </c>
      <c r="L52" s="26">
        <v>2046</v>
      </c>
      <c r="M52" s="26">
        <v>1500</v>
      </c>
      <c r="N52" s="26">
        <v>1364</v>
      </c>
      <c r="O52" s="26">
        <v>1364</v>
      </c>
      <c r="P52" s="26">
        <v>1773</v>
      </c>
      <c r="Q52" s="26">
        <v>5456</v>
      </c>
      <c r="R52" s="26">
        <v>818</v>
      </c>
    </row>
    <row r="53" customHeight="1" spans="1:18">
      <c r="A53" s="25" t="s">
        <v>247</v>
      </c>
      <c r="B53" s="25">
        <v>475</v>
      </c>
      <c r="C53" s="25">
        <f t="shared" si="0"/>
        <v>16024</v>
      </c>
      <c r="E53" s="26"/>
      <c r="F53" s="26"/>
      <c r="G53" s="26"/>
      <c r="H53" s="26"/>
      <c r="I53" s="26"/>
      <c r="J53" s="26">
        <v>29</v>
      </c>
      <c r="K53" s="26">
        <v>216</v>
      </c>
      <c r="L53" s="26">
        <v>2254</v>
      </c>
      <c r="M53" s="26">
        <v>1503</v>
      </c>
      <c r="N53" s="26">
        <v>1503</v>
      </c>
      <c r="O53" s="26">
        <v>1503</v>
      </c>
      <c r="P53" s="26">
        <v>1953</v>
      </c>
      <c r="Q53" s="26">
        <v>6011</v>
      </c>
      <c r="R53" s="26">
        <v>1052</v>
      </c>
    </row>
    <row r="54" customHeight="1" spans="1:18">
      <c r="A54" s="25" t="s">
        <v>248</v>
      </c>
      <c r="B54" s="25">
        <v>500</v>
      </c>
      <c r="C54" s="25">
        <f t="shared" si="0"/>
        <v>17627</v>
      </c>
      <c r="E54" s="26"/>
      <c r="F54" s="26"/>
      <c r="G54" s="26"/>
      <c r="H54" s="26"/>
      <c r="I54" s="26"/>
      <c r="J54" s="26">
        <v>29</v>
      </c>
      <c r="K54" s="26">
        <v>216</v>
      </c>
      <c r="L54" s="26">
        <v>2459</v>
      </c>
      <c r="M54" s="26">
        <v>1640</v>
      </c>
      <c r="N54" s="26">
        <v>1640</v>
      </c>
      <c r="O54" s="26">
        <v>1640</v>
      </c>
      <c r="P54" s="26">
        <v>1968</v>
      </c>
      <c r="Q54" s="26">
        <v>6559</v>
      </c>
      <c r="R54" s="26">
        <v>1476</v>
      </c>
    </row>
    <row r="55" customHeight="1" spans="1:18">
      <c r="A55" s="25" t="s">
        <v>249</v>
      </c>
      <c r="B55" s="25">
        <v>525</v>
      </c>
      <c r="C55" s="25">
        <f t="shared" si="0"/>
        <v>19391</v>
      </c>
      <c r="E55" s="26"/>
      <c r="F55" s="26"/>
      <c r="G55" s="26"/>
      <c r="H55" s="26"/>
      <c r="I55" s="26"/>
      <c r="J55" s="26">
        <v>29</v>
      </c>
      <c r="K55" s="26">
        <v>216</v>
      </c>
      <c r="L55" s="26">
        <v>2659</v>
      </c>
      <c r="M55" s="26">
        <v>1773</v>
      </c>
      <c r="N55" s="26">
        <v>1773</v>
      </c>
      <c r="O55" s="26">
        <v>1773</v>
      </c>
      <c r="P55" s="26">
        <v>2127</v>
      </c>
      <c r="Q55" s="26">
        <v>7091</v>
      </c>
      <c r="R55" s="26">
        <v>1950</v>
      </c>
    </row>
    <row r="56" customHeight="1" spans="1:18">
      <c r="A56" s="25" t="s">
        <v>250</v>
      </c>
      <c r="B56" s="25">
        <v>550</v>
      </c>
      <c r="C56" s="25">
        <f t="shared" si="0"/>
        <v>21331</v>
      </c>
      <c r="E56" s="26"/>
      <c r="F56" s="26"/>
      <c r="G56" s="26"/>
      <c r="H56" s="26"/>
      <c r="I56" s="26"/>
      <c r="J56" s="26">
        <v>29</v>
      </c>
      <c r="K56" s="26">
        <v>216</v>
      </c>
      <c r="L56" s="26">
        <v>2875</v>
      </c>
      <c r="M56" s="26">
        <v>1917</v>
      </c>
      <c r="N56" s="26">
        <v>1917</v>
      </c>
      <c r="O56" s="26">
        <v>1917</v>
      </c>
      <c r="P56" s="26">
        <v>2300</v>
      </c>
      <c r="Q56" s="26">
        <v>7668</v>
      </c>
      <c r="R56" s="26">
        <v>2492</v>
      </c>
    </row>
    <row r="57" customHeight="1" spans="1:18">
      <c r="A57" s="25" t="s">
        <v>251</v>
      </c>
      <c r="B57" s="25">
        <v>575</v>
      </c>
      <c r="C57" s="25">
        <f t="shared" si="0"/>
        <v>23465</v>
      </c>
      <c r="E57" s="26"/>
      <c r="F57" s="26"/>
      <c r="G57" s="26"/>
      <c r="H57" s="26"/>
      <c r="I57" s="26"/>
      <c r="J57" s="26">
        <v>29</v>
      </c>
      <c r="K57" s="26">
        <v>216</v>
      </c>
      <c r="L57" s="26">
        <v>3110</v>
      </c>
      <c r="M57" s="26">
        <v>2073</v>
      </c>
      <c r="N57" s="26">
        <v>2073</v>
      </c>
      <c r="O57" s="26">
        <v>2073</v>
      </c>
      <c r="P57" s="26">
        <v>2488</v>
      </c>
      <c r="Q57" s="26">
        <v>8293</v>
      </c>
      <c r="R57" s="26">
        <v>3110</v>
      </c>
    </row>
    <row r="58" customHeight="1" spans="1:18">
      <c r="A58" s="27" t="s">
        <v>252</v>
      </c>
      <c r="B58" s="27">
        <v>600</v>
      </c>
      <c r="C58" s="27">
        <f t="shared" si="0"/>
        <v>25810</v>
      </c>
      <c r="E58" s="28"/>
      <c r="F58" s="28"/>
      <c r="G58" s="28"/>
      <c r="H58" s="28"/>
      <c r="I58" s="28"/>
      <c r="J58" s="28">
        <v>29</v>
      </c>
      <c r="K58" s="28">
        <v>216</v>
      </c>
      <c r="L58" s="28">
        <v>3394</v>
      </c>
      <c r="M58" s="28">
        <v>2262</v>
      </c>
      <c r="N58" s="28">
        <v>2262</v>
      </c>
      <c r="O58" s="28">
        <v>2262</v>
      </c>
      <c r="P58" s="28">
        <v>2489</v>
      </c>
      <c r="Q58" s="28">
        <v>9050</v>
      </c>
      <c r="R58" s="28">
        <v>3846</v>
      </c>
    </row>
    <row r="59" customHeight="1" spans="1:18">
      <c r="A59" s="27" t="s">
        <v>253</v>
      </c>
      <c r="B59" s="27">
        <v>620</v>
      </c>
      <c r="C59" s="27">
        <f t="shared" si="0"/>
        <v>28392</v>
      </c>
      <c r="E59" s="28"/>
      <c r="F59" s="28"/>
      <c r="G59" s="28"/>
      <c r="H59" s="28"/>
      <c r="I59" s="28"/>
      <c r="J59" s="28">
        <v>29</v>
      </c>
      <c r="K59" s="28">
        <v>216</v>
      </c>
      <c r="L59" s="28">
        <v>3671</v>
      </c>
      <c r="M59" s="28">
        <v>2448</v>
      </c>
      <c r="N59" s="28">
        <v>2448</v>
      </c>
      <c r="O59" s="28">
        <v>2448</v>
      </c>
      <c r="P59" s="28">
        <v>2692</v>
      </c>
      <c r="Q59" s="28">
        <v>9790</v>
      </c>
      <c r="R59" s="28">
        <v>4650</v>
      </c>
    </row>
    <row r="60" customHeight="1" spans="1:18">
      <c r="A60" s="27" t="s">
        <v>254</v>
      </c>
      <c r="B60" s="27">
        <v>640</v>
      </c>
      <c r="C60" s="27">
        <f t="shared" si="0"/>
        <v>31231</v>
      </c>
      <c r="E60" s="28"/>
      <c r="F60" s="28"/>
      <c r="G60" s="28"/>
      <c r="H60" s="28"/>
      <c r="I60" s="28"/>
      <c r="J60" s="28">
        <v>29</v>
      </c>
      <c r="K60" s="28">
        <v>216</v>
      </c>
      <c r="L60" s="28">
        <v>3973</v>
      </c>
      <c r="M60" s="28">
        <v>2648</v>
      </c>
      <c r="N60" s="28">
        <v>2648</v>
      </c>
      <c r="O60" s="28">
        <v>2648</v>
      </c>
      <c r="P60" s="28">
        <v>2913</v>
      </c>
      <c r="Q60" s="28">
        <v>10594</v>
      </c>
      <c r="R60" s="28">
        <v>5562</v>
      </c>
    </row>
    <row r="61" customHeight="1" spans="1:18">
      <c r="A61" s="27" t="s">
        <v>255</v>
      </c>
      <c r="B61" s="27">
        <v>660</v>
      </c>
      <c r="C61" s="27">
        <f t="shared" si="0"/>
        <v>34354</v>
      </c>
      <c r="E61" s="28"/>
      <c r="F61" s="28"/>
      <c r="G61" s="28"/>
      <c r="H61" s="28"/>
      <c r="I61" s="28"/>
      <c r="J61" s="28">
        <v>29</v>
      </c>
      <c r="K61" s="28">
        <v>216</v>
      </c>
      <c r="L61" s="28">
        <v>4300</v>
      </c>
      <c r="M61" s="28">
        <v>2866</v>
      </c>
      <c r="N61" s="28">
        <v>2866</v>
      </c>
      <c r="O61" s="28">
        <v>2866</v>
      </c>
      <c r="P61" s="28">
        <v>3153</v>
      </c>
      <c r="Q61" s="28">
        <v>11465</v>
      </c>
      <c r="R61" s="28">
        <v>6593</v>
      </c>
    </row>
    <row r="62" customHeight="1" spans="1:18">
      <c r="A62" s="27" t="s">
        <v>256</v>
      </c>
      <c r="B62" s="27">
        <v>680</v>
      </c>
      <c r="C62" s="27">
        <f t="shared" si="0"/>
        <v>37789</v>
      </c>
      <c r="E62" s="28"/>
      <c r="F62" s="28"/>
      <c r="G62" s="28"/>
      <c r="H62" s="28"/>
      <c r="I62" s="28"/>
      <c r="J62" s="28">
        <v>29</v>
      </c>
      <c r="K62" s="28">
        <v>216</v>
      </c>
      <c r="L62" s="28">
        <v>4654</v>
      </c>
      <c r="M62" s="28">
        <v>3103</v>
      </c>
      <c r="N62" s="28">
        <v>3103</v>
      </c>
      <c r="O62" s="28">
        <v>3103</v>
      </c>
      <c r="P62" s="28">
        <v>3413</v>
      </c>
      <c r="Q62" s="28">
        <v>12411</v>
      </c>
      <c r="R62" s="28">
        <v>7757</v>
      </c>
    </row>
    <row r="63" customHeight="1" spans="1:18">
      <c r="A63" s="27" t="s">
        <v>257</v>
      </c>
      <c r="B63" s="27">
        <v>700</v>
      </c>
      <c r="C63" s="27">
        <f t="shared" si="0"/>
        <v>41566</v>
      </c>
      <c r="E63" s="28"/>
      <c r="F63" s="28"/>
      <c r="G63" s="28"/>
      <c r="H63" s="28"/>
      <c r="I63" s="28"/>
      <c r="J63" s="28">
        <v>29</v>
      </c>
      <c r="K63" s="28">
        <v>216</v>
      </c>
      <c r="L63" s="28">
        <v>5080</v>
      </c>
      <c r="M63" s="28">
        <v>3387</v>
      </c>
      <c r="N63" s="28">
        <v>3387</v>
      </c>
      <c r="O63" s="28">
        <v>3387</v>
      </c>
      <c r="P63" s="28">
        <v>3387</v>
      </c>
      <c r="Q63" s="28">
        <v>13548</v>
      </c>
      <c r="R63" s="28">
        <v>9145</v>
      </c>
    </row>
    <row r="64" customHeight="1" spans="1:18">
      <c r="A64" s="27" t="s">
        <v>258</v>
      </c>
      <c r="B64" s="27">
        <v>720</v>
      </c>
      <c r="C64" s="27">
        <f t="shared" si="0"/>
        <v>45721</v>
      </c>
      <c r="E64" s="28"/>
      <c r="F64" s="28"/>
      <c r="G64" s="28"/>
      <c r="H64" s="28"/>
      <c r="I64" s="28"/>
      <c r="J64" s="28">
        <v>29</v>
      </c>
      <c r="K64" s="28">
        <v>216</v>
      </c>
      <c r="L64" s="28">
        <v>5457</v>
      </c>
      <c r="M64" s="28">
        <v>3638</v>
      </c>
      <c r="N64" s="28">
        <v>3638</v>
      </c>
      <c r="O64" s="28">
        <v>3638</v>
      </c>
      <c r="P64" s="28">
        <v>3638</v>
      </c>
      <c r="Q64" s="28">
        <v>14553</v>
      </c>
      <c r="R64" s="28">
        <v>10914</v>
      </c>
    </row>
    <row r="65" customHeight="1" spans="1:18">
      <c r="A65" s="27" t="s">
        <v>259</v>
      </c>
      <c r="B65" s="27">
        <v>740</v>
      </c>
      <c r="C65" s="27">
        <f t="shared" si="0"/>
        <v>50291</v>
      </c>
      <c r="E65" s="28"/>
      <c r="F65" s="28"/>
      <c r="G65" s="28"/>
      <c r="H65" s="28"/>
      <c r="I65" s="28"/>
      <c r="J65" s="28">
        <v>29</v>
      </c>
      <c r="K65" s="28">
        <v>216</v>
      </c>
      <c r="L65" s="28">
        <v>5958</v>
      </c>
      <c r="M65" s="28">
        <v>3972</v>
      </c>
      <c r="N65" s="28">
        <v>3972</v>
      </c>
      <c r="O65" s="28">
        <v>3972</v>
      </c>
      <c r="P65" s="28">
        <v>3972</v>
      </c>
      <c r="Q65" s="28">
        <v>15887</v>
      </c>
      <c r="R65" s="28">
        <v>12313</v>
      </c>
    </row>
    <row r="66" customHeight="1" spans="1:18">
      <c r="A66" s="27" t="s">
        <v>260</v>
      </c>
      <c r="B66" s="27">
        <v>760</v>
      </c>
      <c r="C66" s="27">
        <f t="shared" si="0"/>
        <v>55314</v>
      </c>
      <c r="E66" s="28"/>
      <c r="F66" s="28"/>
      <c r="G66" s="28"/>
      <c r="H66" s="28"/>
      <c r="I66" s="28"/>
      <c r="J66" s="28">
        <v>29</v>
      </c>
      <c r="K66" s="28">
        <v>216</v>
      </c>
      <c r="L66" s="28">
        <v>6504</v>
      </c>
      <c r="M66" s="28">
        <v>4336</v>
      </c>
      <c r="N66" s="28">
        <v>4336</v>
      </c>
      <c r="O66" s="28">
        <v>4336</v>
      </c>
      <c r="P66" s="28">
        <v>4336</v>
      </c>
      <c r="Q66" s="28">
        <v>17345</v>
      </c>
      <c r="R66" s="28">
        <v>13876</v>
      </c>
    </row>
    <row r="67" customHeight="1" spans="1:18">
      <c r="A67" s="27" t="s">
        <v>261</v>
      </c>
      <c r="B67" s="27">
        <v>780</v>
      </c>
      <c r="C67" s="27">
        <f t="shared" si="0"/>
        <v>60842</v>
      </c>
      <c r="E67" s="28"/>
      <c r="F67" s="28"/>
      <c r="G67" s="28"/>
      <c r="H67" s="28"/>
      <c r="I67" s="28"/>
      <c r="J67" s="28">
        <v>29</v>
      </c>
      <c r="K67" s="28">
        <v>216</v>
      </c>
      <c r="L67" s="28">
        <v>7101</v>
      </c>
      <c r="M67" s="28">
        <v>4734</v>
      </c>
      <c r="N67" s="28">
        <v>4734</v>
      </c>
      <c r="O67" s="28">
        <v>4734</v>
      </c>
      <c r="P67" s="28">
        <v>4734</v>
      </c>
      <c r="Q67" s="28">
        <v>18937</v>
      </c>
      <c r="R67" s="28">
        <v>15623</v>
      </c>
    </row>
    <row r="68" customHeight="1" spans="1:18">
      <c r="A68" s="27" t="s">
        <v>262</v>
      </c>
      <c r="B68" s="27">
        <v>800</v>
      </c>
      <c r="C68" s="27">
        <f t="shared" ref="C68:C102" si="1">SUM(E68:R68)</f>
        <v>66924</v>
      </c>
      <c r="E68" s="28"/>
      <c r="F68" s="28"/>
      <c r="G68" s="28"/>
      <c r="H68" s="28"/>
      <c r="I68" s="28"/>
      <c r="J68" s="28">
        <v>29</v>
      </c>
      <c r="K68" s="28">
        <v>216</v>
      </c>
      <c r="L68" s="28">
        <v>7753</v>
      </c>
      <c r="M68" s="28">
        <v>5169</v>
      </c>
      <c r="N68" s="28">
        <v>5169</v>
      </c>
      <c r="O68" s="28">
        <v>5169</v>
      </c>
      <c r="P68" s="28">
        <v>5169</v>
      </c>
      <c r="Q68" s="28">
        <v>20676</v>
      </c>
      <c r="R68" s="28">
        <v>17574</v>
      </c>
    </row>
    <row r="69" customHeight="1" spans="1:18">
      <c r="A69" s="27" t="s">
        <v>263</v>
      </c>
      <c r="B69" s="27">
        <v>820</v>
      </c>
      <c r="C69" s="27">
        <f t="shared" si="1"/>
        <v>73614</v>
      </c>
      <c r="E69" s="28"/>
      <c r="F69" s="28"/>
      <c r="G69" s="28"/>
      <c r="H69" s="28"/>
      <c r="I69" s="28"/>
      <c r="J69" s="28">
        <v>29</v>
      </c>
      <c r="K69" s="28">
        <v>216</v>
      </c>
      <c r="L69" s="28">
        <v>8465</v>
      </c>
      <c r="M69" s="28">
        <v>5644</v>
      </c>
      <c r="N69" s="28">
        <v>5644</v>
      </c>
      <c r="O69" s="28">
        <v>5644</v>
      </c>
      <c r="P69" s="28">
        <v>5644</v>
      </c>
      <c r="Q69" s="28">
        <v>22575</v>
      </c>
      <c r="R69" s="28">
        <v>19753</v>
      </c>
    </row>
    <row r="70" customHeight="1" spans="1:18">
      <c r="A70" s="27" t="s">
        <v>264</v>
      </c>
      <c r="B70" s="27">
        <v>840</v>
      </c>
      <c r="C70" s="27">
        <f t="shared" si="1"/>
        <v>80969</v>
      </c>
      <c r="E70" s="28"/>
      <c r="F70" s="28"/>
      <c r="G70" s="28"/>
      <c r="H70" s="28"/>
      <c r="I70" s="28"/>
      <c r="J70" s="28">
        <v>29</v>
      </c>
      <c r="K70" s="28">
        <v>216</v>
      </c>
      <c r="L70" s="28">
        <v>9243</v>
      </c>
      <c r="M70" s="28">
        <v>6162</v>
      </c>
      <c r="N70" s="28">
        <v>6162</v>
      </c>
      <c r="O70" s="28">
        <v>6162</v>
      </c>
      <c r="P70" s="28">
        <v>6162</v>
      </c>
      <c r="Q70" s="28">
        <v>24649</v>
      </c>
      <c r="R70" s="28">
        <v>22184</v>
      </c>
    </row>
    <row r="71" customHeight="1" spans="1:18">
      <c r="A71" s="27" t="s">
        <v>265</v>
      </c>
      <c r="B71" s="27">
        <v>860</v>
      </c>
      <c r="C71" s="27">
        <f t="shared" si="1"/>
        <v>89064</v>
      </c>
      <c r="E71" s="28"/>
      <c r="F71" s="28"/>
      <c r="G71" s="28"/>
      <c r="H71" s="28"/>
      <c r="I71" s="28"/>
      <c r="J71" s="28">
        <v>29</v>
      </c>
      <c r="K71" s="28">
        <v>216</v>
      </c>
      <c r="L71" s="28">
        <v>10093</v>
      </c>
      <c r="M71" s="28">
        <v>6729</v>
      </c>
      <c r="N71" s="28">
        <v>6729</v>
      </c>
      <c r="O71" s="28">
        <v>6729</v>
      </c>
      <c r="P71" s="28">
        <v>6729</v>
      </c>
      <c r="Q71" s="28">
        <v>26914</v>
      </c>
      <c r="R71" s="28">
        <v>24896</v>
      </c>
    </row>
    <row r="72" customHeight="1" spans="1:18">
      <c r="A72" s="27" t="s">
        <v>266</v>
      </c>
      <c r="B72" s="27">
        <v>880</v>
      </c>
      <c r="C72" s="27">
        <f t="shared" si="1"/>
        <v>97963</v>
      </c>
      <c r="E72" s="28"/>
      <c r="F72" s="28"/>
      <c r="G72" s="28"/>
      <c r="H72" s="28"/>
      <c r="I72" s="28"/>
      <c r="J72" s="28">
        <v>29</v>
      </c>
      <c r="K72" s="28">
        <v>216</v>
      </c>
      <c r="L72" s="28">
        <v>11021</v>
      </c>
      <c r="M72" s="28">
        <v>7347</v>
      </c>
      <c r="N72" s="28">
        <v>7347</v>
      </c>
      <c r="O72" s="28">
        <v>7347</v>
      </c>
      <c r="P72" s="28">
        <v>7347</v>
      </c>
      <c r="Q72" s="28">
        <v>29389</v>
      </c>
      <c r="R72" s="28">
        <v>27920</v>
      </c>
    </row>
    <row r="73" customHeight="1" spans="1:18">
      <c r="A73" s="27" t="s">
        <v>267</v>
      </c>
      <c r="B73" s="27">
        <v>900</v>
      </c>
      <c r="C73" s="27">
        <f t="shared" si="1"/>
        <v>107757</v>
      </c>
      <c r="E73" s="28"/>
      <c r="F73" s="28"/>
      <c r="G73" s="28"/>
      <c r="H73" s="28"/>
      <c r="I73" s="28"/>
      <c r="J73" s="28">
        <v>29</v>
      </c>
      <c r="K73" s="28">
        <v>216</v>
      </c>
      <c r="L73" s="28">
        <v>11946</v>
      </c>
      <c r="M73" s="28">
        <v>7964</v>
      </c>
      <c r="N73" s="28">
        <v>7964</v>
      </c>
      <c r="O73" s="28">
        <v>7964</v>
      </c>
      <c r="P73" s="28">
        <v>7964</v>
      </c>
      <c r="Q73" s="28">
        <v>31855</v>
      </c>
      <c r="R73" s="28">
        <v>31855</v>
      </c>
    </row>
    <row r="74" customHeight="1" spans="1:18">
      <c r="A74" s="27" t="s">
        <v>268</v>
      </c>
      <c r="B74" s="27">
        <v>920</v>
      </c>
      <c r="C74" s="27">
        <f t="shared" si="1"/>
        <v>118527</v>
      </c>
      <c r="E74" s="28"/>
      <c r="F74" s="28"/>
      <c r="G74" s="28"/>
      <c r="H74" s="28"/>
      <c r="I74" s="28"/>
      <c r="J74" s="28">
        <v>29</v>
      </c>
      <c r="K74" s="28">
        <v>216</v>
      </c>
      <c r="L74" s="28">
        <v>13142</v>
      </c>
      <c r="M74" s="28">
        <v>8762</v>
      </c>
      <c r="N74" s="28">
        <v>8762</v>
      </c>
      <c r="O74" s="28">
        <v>8762</v>
      </c>
      <c r="P74" s="28">
        <v>8762</v>
      </c>
      <c r="Q74" s="28">
        <v>35046</v>
      </c>
      <c r="R74" s="28">
        <v>35046</v>
      </c>
    </row>
    <row r="75" customHeight="1" spans="1:18">
      <c r="A75" s="27" t="s">
        <v>269</v>
      </c>
      <c r="B75" s="27">
        <v>940</v>
      </c>
      <c r="C75" s="27">
        <f t="shared" si="1"/>
        <v>130372</v>
      </c>
      <c r="E75" s="28"/>
      <c r="F75" s="28"/>
      <c r="G75" s="28"/>
      <c r="H75" s="28"/>
      <c r="I75" s="28"/>
      <c r="J75" s="28">
        <v>29</v>
      </c>
      <c r="K75" s="28">
        <v>216</v>
      </c>
      <c r="L75" s="28">
        <v>14459</v>
      </c>
      <c r="M75" s="28">
        <v>9639</v>
      </c>
      <c r="N75" s="28">
        <v>9639</v>
      </c>
      <c r="O75" s="28">
        <v>9639</v>
      </c>
      <c r="P75" s="28">
        <v>9639</v>
      </c>
      <c r="Q75" s="28">
        <v>38556</v>
      </c>
      <c r="R75" s="28">
        <v>38556</v>
      </c>
    </row>
    <row r="76" customHeight="1" spans="1:18">
      <c r="A76" s="27" t="s">
        <v>270</v>
      </c>
      <c r="B76" s="27">
        <v>960</v>
      </c>
      <c r="C76" s="27">
        <f t="shared" si="1"/>
        <v>143401</v>
      </c>
      <c r="E76" s="28"/>
      <c r="F76" s="28"/>
      <c r="G76" s="28"/>
      <c r="H76" s="28"/>
      <c r="I76" s="28"/>
      <c r="J76" s="28">
        <v>29</v>
      </c>
      <c r="K76" s="28">
        <v>216</v>
      </c>
      <c r="L76" s="28">
        <v>15906</v>
      </c>
      <c r="M76" s="28">
        <v>10604</v>
      </c>
      <c r="N76" s="28">
        <v>10604</v>
      </c>
      <c r="O76" s="28">
        <v>10604</v>
      </c>
      <c r="P76" s="28">
        <v>10604</v>
      </c>
      <c r="Q76" s="28">
        <v>42417</v>
      </c>
      <c r="R76" s="28">
        <v>42417</v>
      </c>
    </row>
    <row r="77" customHeight="1" spans="1:18">
      <c r="A77" s="27" t="s">
        <v>271</v>
      </c>
      <c r="B77" s="27">
        <v>980</v>
      </c>
      <c r="C77" s="27">
        <f t="shared" si="1"/>
        <v>157736</v>
      </c>
      <c r="E77" s="28"/>
      <c r="F77" s="28"/>
      <c r="G77" s="28"/>
      <c r="H77" s="28"/>
      <c r="I77" s="28"/>
      <c r="J77" s="28">
        <v>29</v>
      </c>
      <c r="K77" s="28">
        <v>216</v>
      </c>
      <c r="L77" s="28">
        <v>17499</v>
      </c>
      <c r="M77" s="28">
        <v>11666</v>
      </c>
      <c r="N77" s="28">
        <v>11666</v>
      </c>
      <c r="O77" s="28">
        <v>11666</v>
      </c>
      <c r="P77" s="28">
        <v>11666</v>
      </c>
      <c r="Q77" s="28">
        <v>46664</v>
      </c>
      <c r="R77" s="28">
        <v>46664</v>
      </c>
    </row>
    <row r="78" customHeight="1" spans="1:18">
      <c r="A78" s="27" t="s">
        <v>272</v>
      </c>
      <c r="B78" s="27">
        <v>1000</v>
      </c>
      <c r="C78" s="27">
        <f t="shared" si="1"/>
        <v>173504</v>
      </c>
      <c r="E78" s="28"/>
      <c r="F78" s="28"/>
      <c r="G78" s="28"/>
      <c r="H78" s="28"/>
      <c r="I78" s="28"/>
      <c r="J78" s="28">
        <v>29</v>
      </c>
      <c r="K78" s="28">
        <v>216</v>
      </c>
      <c r="L78" s="28">
        <v>19251</v>
      </c>
      <c r="M78" s="28">
        <v>12834</v>
      </c>
      <c r="N78" s="28">
        <v>12834</v>
      </c>
      <c r="O78" s="28">
        <v>12834</v>
      </c>
      <c r="P78" s="28">
        <v>12834</v>
      </c>
      <c r="Q78" s="28">
        <v>51336</v>
      </c>
      <c r="R78" s="28">
        <v>51336</v>
      </c>
    </row>
    <row r="79" customHeight="1" spans="1:18">
      <c r="A79" s="27" t="s">
        <v>273</v>
      </c>
      <c r="B79" s="27">
        <v>1020</v>
      </c>
      <c r="C79" s="27">
        <f t="shared" si="1"/>
        <v>190849</v>
      </c>
      <c r="E79" s="28"/>
      <c r="F79" s="28"/>
      <c r="G79" s="28"/>
      <c r="H79" s="28"/>
      <c r="I79" s="28"/>
      <c r="J79" s="28">
        <v>29</v>
      </c>
      <c r="K79" s="28">
        <v>216</v>
      </c>
      <c r="L79" s="28">
        <v>21178</v>
      </c>
      <c r="M79" s="28">
        <v>14119</v>
      </c>
      <c r="N79" s="28">
        <v>14119</v>
      </c>
      <c r="O79" s="28">
        <v>14119</v>
      </c>
      <c r="P79" s="28">
        <v>14119</v>
      </c>
      <c r="Q79" s="28">
        <v>56475</v>
      </c>
      <c r="R79" s="28">
        <v>56475</v>
      </c>
    </row>
    <row r="80" customHeight="1" spans="1:18">
      <c r="A80" s="27" t="s">
        <v>274</v>
      </c>
      <c r="B80" s="27">
        <v>1040</v>
      </c>
      <c r="C80" s="27">
        <f t="shared" si="1"/>
        <v>209927</v>
      </c>
      <c r="E80" s="28"/>
      <c r="F80" s="28"/>
      <c r="G80" s="28"/>
      <c r="H80" s="28"/>
      <c r="I80" s="28"/>
      <c r="J80" s="28">
        <v>29</v>
      </c>
      <c r="K80" s="28">
        <v>216</v>
      </c>
      <c r="L80" s="28">
        <v>23298</v>
      </c>
      <c r="M80" s="28">
        <v>15532</v>
      </c>
      <c r="N80" s="28">
        <v>15532</v>
      </c>
      <c r="O80" s="28">
        <v>15532</v>
      </c>
      <c r="P80" s="28">
        <v>15532</v>
      </c>
      <c r="Q80" s="28">
        <v>62128</v>
      </c>
      <c r="R80" s="28">
        <v>62128</v>
      </c>
    </row>
    <row r="81" customHeight="1" spans="1:18">
      <c r="A81" s="27" t="s">
        <v>275</v>
      </c>
      <c r="B81" s="27">
        <v>1060</v>
      </c>
      <c r="C81" s="27">
        <f t="shared" si="1"/>
        <v>230911</v>
      </c>
      <c r="E81" s="28"/>
      <c r="F81" s="28"/>
      <c r="G81" s="28"/>
      <c r="H81" s="28"/>
      <c r="I81" s="28"/>
      <c r="J81" s="28">
        <v>29</v>
      </c>
      <c r="K81" s="28">
        <v>216</v>
      </c>
      <c r="L81" s="28">
        <v>25630</v>
      </c>
      <c r="M81" s="28">
        <v>17086</v>
      </c>
      <c r="N81" s="28">
        <v>17086</v>
      </c>
      <c r="O81" s="28">
        <v>17086</v>
      </c>
      <c r="P81" s="28">
        <v>17086</v>
      </c>
      <c r="Q81" s="28">
        <v>68346</v>
      </c>
      <c r="R81" s="28">
        <v>68346</v>
      </c>
    </row>
    <row r="82" customHeight="1" spans="1:18">
      <c r="A82" s="27" t="s">
        <v>276</v>
      </c>
      <c r="B82" s="27">
        <v>1080</v>
      </c>
      <c r="C82" s="27">
        <f t="shared" si="1"/>
        <v>253996</v>
      </c>
      <c r="E82" s="28"/>
      <c r="F82" s="28"/>
      <c r="G82" s="28"/>
      <c r="H82" s="28"/>
      <c r="I82" s="28"/>
      <c r="J82" s="28">
        <v>29</v>
      </c>
      <c r="K82" s="28">
        <v>216</v>
      </c>
      <c r="L82" s="28">
        <v>28195</v>
      </c>
      <c r="M82" s="28">
        <v>18796</v>
      </c>
      <c r="N82" s="28">
        <v>18796</v>
      </c>
      <c r="O82" s="28">
        <v>18796</v>
      </c>
      <c r="P82" s="28">
        <v>18796</v>
      </c>
      <c r="Q82" s="28">
        <v>75186</v>
      </c>
      <c r="R82" s="28">
        <v>75186</v>
      </c>
    </row>
    <row r="83" customHeight="1" spans="1:18">
      <c r="A83" s="27" t="s">
        <v>277</v>
      </c>
      <c r="B83" s="27">
        <v>1100</v>
      </c>
      <c r="C83" s="27">
        <f t="shared" si="1"/>
        <v>279389</v>
      </c>
      <c r="E83" s="28"/>
      <c r="F83" s="28"/>
      <c r="G83" s="28"/>
      <c r="H83" s="28"/>
      <c r="I83" s="28"/>
      <c r="J83" s="28">
        <v>29</v>
      </c>
      <c r="K83" s="28">
        <v>216</v>
      </c>
      <c r="L83" s="28">
        <v>31016</v>
      </c>
      <c r="M83" s="28">
        <v>20677</v>
      </c>
      <c r="N83" s="28">
        <v>20677</v>
      </c>
      <c r="O83" s="28">
        <v>20677</v>
      </c>
      <c r="P83" s="28">
        <v>20677</v>
      </c>
      <c r="Q83" s="28">
        <v>82710</v>
      </c>
      <c r="R83" s="28">
        <v>82710</v>
      </c>
    </row>
    <row r="84" customHeight="1" spans="1:18">
      <c r="A84" s="27" t="s">
        <v>278</v>
      </c>
      <c r="B84" s="27">
        <v>1120</v>
      </c>
      <c r="C84" s="27">
        <f t="shared" si="1"/>
        <v>307325</v>
      </c>
      <c r="E84" s="28"/>
      <c r="F84" s="28"/>
      <c r="G84" s="28"/>
      <c r="H84" s="28"/>
      <c r="I84" s="28"/>
      <c r="J84" s="28">
        <v>29</v>
      </c>
      <c r="K84" s="28">
        <v>216</v>
      </c>
      <c r="L84" s="28">
        <v>34120</v>
      </c>
      <c r="M84" s="28">
        <v>22747</v>
      </c>
      <c r="N84" s="28">
        <v>22747</v>
      </c>
      <c r="O84" s="28">
        <v>22747</v>
      </c>
      <c r="P84" s="28">
        <v>22747</v>
      </c>
      <c r="Q84" s="28">
        <v>90986</v>
      </c>
      <c r="R84" s="28">
        <v>90986</v>
      </c>
    </row>
    <row r="85" customHeight="1" spans="1:18">
      <c r="A85" s="27" t="s">
        <v>279</v>
      </c>
      <c r="B85" s="27">
        <v>1140</v>
      </c>
      <c r="C85" s="27">
        <f t="shared" si="1"/>
        <v>338051</v>
      </c>
      <c r="E85" s="28"/>
      <c r="F85" s="28"/>
      <c r="G85" s="28"/>
      <c r="H85" s="28"/>
      <c r="I85" s="28"/>
      <c r="J85" s="28">
        <v>29</v>
      </c>
      <c r="K85" s="28">
        <v>216</v>
      </c>
      <c r="L85" s="28">
        <v>37534</v>
      </c>
      <c r="M85" s="28">
        <v>25023</v>
      </c>
      <c r="N85" s="28">
        <v>25023</v>
      </c>
      <c r="O85" s="28">
        <v>25023</v>
      </c>
      <c r="P85" s="28">
        <v>25023</v>
      </c>
      <c r="Q85" s="28">
        <v>100090</v>
      </c>
      <c r="R85" s="28">
        <v>100090</v>
      </c>
    </row>
    <row r="86" customHeight="1" spans="1:18">
      <c r="A86" s="27" t="s">
        <v>280</v>
      </c>
      <c r="B86" s="27">
        <v>1160</v>
      </c>
      <c r="C86" s="27">
        <f t="shared" si="1"/>
        <v>371848</v>
      </c>
      <c r="E86" s="28"/>
      <c r="F86" s="28"/>
      <c r="G86" s="28"/>
      <c r="H86" s="28"/>
      <c r="I86" s="28"/>
      <c r="J86" s="28">
        <v>29</v>
      </c>
      <c r="K86" s="28">
        <v>216</v>
      </c>
      <c r="L86" s="28">
        <v>41289</v>
      </c>
      <c r="M86" s="28">
        <v>27526</v>
      </c>
      <c r="N86" s="28">
        <v>27526</v>
      </c>
      <c r="O86" s="28">
        <v>27526</v>
      </c>
      <c r="P86" s="28">
        <v>27526</v>
      </c>
      <c r="Q86" s="28">
        <v>110105</v>
      </c>
      <c r="R86" s="28">
        <v>110105</v>
      </c>
    </row>
    <row r="87" customHeight="1" spans="1:18">
      <c r="A87" s="27" t="s">
        <v>281</v>
      </c>
      <c r="B87" s="27">
        <v>1180</v>
      </c>
      <c r="C87" s="27">
        <f t="shared" si="1"/>
        <v>409025</v>
      </c>
      <c r="E87" s="28"/>
      <c r="F87" s="28"/>
      <c r="G87" s="28"/>
      <c r="H87" s="28"/>
      <c r="I87" s="28"/>
      <c r="J87" s="28">
        <v>29</v>
      </c>
      <c r="K87" s="28">
        <v>216</v>
      </c>
      <c r="L87" s="28">
        <v>45420</v>
      </c>
      <c r="M87" s="28">
        <v>30280</v>
      </c>
      <c r="N87" s="28">
        <v>30280</v>
      </c>
      <c r="O87" s="28">
        <v>30280</v>
      </c>
      <c r="P87" s="28">
        <v>30280</v>
      </c>
      <c r="Q87" s="28">
        <v>121120</v>
      </c>
      <c r="R87" s="28">
        <v>121120</v>
      </c>
    </row>
    <row r="88" customHeight="1" spans="1:18">
      <c r="A88" s="27" t="s">
        <v>282</v>
      </c>
      <c r="B88" s="27">
        <v>1200</v>
      </c>
      <c r="C88" s="27">
        <f t="shared" si="1"/>
        <v>449921</v>
      </c>
      <c r="E88" s="28"/>
      <c r="F88" s="28"/>
      <c r="G88" s="28"/>
      <c r="H88" s="28"/>
      <c r="I88" s="28"/>
      <c r="J88" s="28">
        <v>29</v>
      </c>
      <c r="K88" s="28">
        <v>216</v>
      </c>
      <c r="L88" s="28">
        <v>49964</v>
      </c>
      <c r="M88" s="28">
        <v>33309</v>
      </c>
      <c r="N88" s="28">
        <v>33309</v>
      </c>
      <c r="O88" s="28">
        <v>33309</v>
      </c>
      <c r="P88" s="28">
        <v>33309</v>
      </c>
      <c r="Q88" s="28">
        <v>133238</v>
      </c>
      <c r="R88" s="28">
        <v>133238</v>
      </c>
    </row>
    <row r="89" customHeight="1" spans="1:18">
      <c r="A89" s="27" t="s">
        <v>283</v>
      </c>
      <c r="B89" s="27">
        <v>1220</v>
      </c>
      <c r="C89" s="27">
        <f t="shared" si="1"/>
        <v>494910</v>
      </c>
      <c r="E89" s="28"/>
      <c r="F89" s="28"/>
      <c r="G89" s="28"/>
      <c r="H89" s="28"/>
      <c r="I89" s="28"/>
      <c r="J89" s="28">
        <v>29</v>
      </c>
      <c r="K89" s="28">
        <v>216</v>
      </c>
      <c r="L89" s="28">
        <v>54963</v>
      </c>
      <c r="M89" s="28">
        <v>36642</v>
      </c>
      <c r="N89" s="28">
        <v>36642</v>
      </c>
      <c r="O89" s="28">
        <v>36642</v>
      </c>
      <c r="P89" s="28">
        <v>36642</v>
      </c>
      <c r="Q89" s="28">
        <v>146567</v>
      </c>
      <c r="R89" s="28">
        <v>146567</v>
      </c>
    </row>
    <row r="90" customHeight="1" spans="1:18">
      <c r="A90" s="27" t="s">
        <v>284</v>
      </c>
      <c r="B90" s="27">
        <v>1240</v>
      </c>
      <c r="C90" s="27">
        <f t="shared" si="1"/>
        <v>544392</v>
      </c>
      <c r="E90" s="28"/>
      <c r="F90" s="28"/>
      <c r="G90" s="28"/>
      <c r="H90" s="28"/>
      <c r="I90" s="28"/>
      <c r="J90" s="28">
        <v>29</v>
      </c>
      <c r="K90" s="28">
        <v>216</v>
      </c>
      <c r="L90" s="28">
        <v>60461</v>
      </c>
      <c r="M90" s="28">
        <v>40307</v>
      </c>
      <c r="N90" s="28">
        <v>40307</v>
      </c>
      <c r="O90" s="28">
        <v>40307</v>
      </c>
      <c r="P90" s="28">
        <v>40307</v>
      </c>
      <c r="Q90" s="28">
        <v>161229</v>
      </c>
      <c r="R90" s="28">
        <v>161229</v>
      </c>
    </row>
    <row r="91" customHeight="1" spans="1:18">
      <c r="A91" s="27" t="s">
        <v>285</v>
      </c>
      <c r="B91" s="27">
        <v>1260</v>
      </c>
      <c r="C91" s="27">
        <f t="shared" si="1"/>
        <v>598824</v>
      </c>
      <c r="E91" s="28"/>
      <c r="F91" s="28"/>
      <c r="G91" s="28"/>
      <c r="H91" s="28"/>
      <c r="I91" s="28"/>
      <c r="J91" s="28">
        <v>29</v>
      </c>
      <c r="K91" s="28">
        <v>216</v>
      </c>
      <c r="L91" s="28">
        <v>66509</v>
      </c>
      <c r="M91" s="28">
        <v>44339</v>
      </c>
      <c r="N91" s="28">
        <v>44339</v>
      </c>
      <c r="O91" s="28">
        <v>44339</v>
      </c>
      <c r="P91" s="28">
        <v>44339</v>
      </c>
      <c r="Q91" s="28">
        <v>177357</v>
      </c>
      <c r="R91" s="28">
        <v>177357</v>
      </c>
    </row>
    <row r="92" customHeight="1" spans="1:18">
      <c r="A92" s="27" t="s">
        <v>286</v>
      </c>
      <c r="B92" s="27">
        <v>1280</v>
      </c>
      <c r="C92" s="27">
        <f t="shared" si="1"/>
        <v>658705</v>
      </c>
      <c r="E92" s="28"/>
      <c r="F92" s="28"/>
      <c r="G92" s="28"/>
      <c r="H92" s="28"/>
      <c r="I92" s="28"/>
      <c r="J92" s="28">
        <v>29</v>
      </c>
      <c r="K92" s="28">
        <v>216</v>
      </c>
      <c r="L92" s="28">
        <v>73162</v>
      </c>
      <c r="M92" s="28">
        <v>48775</v>
      </c>
      <c r="N92" s="28">
        <v>48775</v>
      </c>
      <c r="O92" s="28">
        <v>48775</v>
      </c>
      <c r="P92" s="28">
        <v>48775</v>
      </c>
      <c r="Q92" s="28">
        <v>195099</v>
      </c>
      <c r="R92" s="28">
        <v>195099</v>
      </c>
    </row>
    <row r="93" customHeight="1" spans="1:18">
      <c r="A93" s="27" t="s">
        <v>287</v>
      </c>
      <c r="B93" s="27">
        <v>1300</v>
      </c>
      <c r="C93" s="27">
        <f t="shared" si="1"/>
        <v>724565</v>
      </c>
      <c r="E93" s="28"/>
      <c r="F93" s="28"/>
      <c r="G93" s="28"/>
      <c r="H93" s="28"/>
      <c r="I93" s="28"/>
      <c r="J93" s="28">
        <v>29</v>
      </c>
      <c r="K93" s="28">
        <v>216</v>
      </c>
      <c r="L93" s="28">
        <v>80480</v>
      </c>
      <c r="M93" s="28">
        <v>53653</v>
      </c>
      <c r="N93" s="28">
        <v>53653</v>
      </c>
      <c r="O93" s="28">
        <v>53653</v>
      </c>
      <c r="P93" s="28">
        <v>53653</v>
      </c>
      <c r="Q93" s="28">
        <v>214614</v>
      </c>
      <c r="R93" s="28">
        <v>214614</v>
      </c>
    </row>
    <row r="94" customHeight="1" spans="1:18">
      <c r="A94" s="27" t="s">
        <v>288</v>
      </c>
      <c r="B94" s="27">
        <v>1320</v>
      </c>
      <c r="C94" s="27">
        <f t="shared" si="1"/>
        <v>797017</v>
      </c>
      <c r="E94" s="28"/>
      <c r="F94" s="28"/>
      <c r="G94" s="28"/>
      <c r="H94" s="28"/>
      <c r="I94" s="28"/>
      <c r="J94" s="28">
        <v>29</v>
      </c>
      <c r="K94" s="28">
        <v>216</v>
      </c>
      <c r="L94" s="28">
        <v>88530</v>
      </c>
      <c r="M94" s="28">
        <v>59020</v>
      </c>
      <c r="N94" s="28">
        <v>59020</v>
      </c>
      <c r="O94" s="28">
        <v>59020</v>
      </c>
      <c r="P94" s="28">
        <v>59020</v>
      </c>
      <c r="Q94" s="28">
        <v>236081</v>
      </c>
      <c r="R94" s="28">
        <v>236081</v>
      </c>
    </row>
    <row r="95" customHeight="1" spans="1:18">
      <c r="A95" s="27" t="s">
        <v>289</v>
      </c>
      <c r="B95" s="27">
        <v>1340</v>
      </c>
      <c r="C95" s="27">
        <f t="shared" si="1"/>
        <v>876710</v>
      </c>
      <c r="E95" s="28"/>
      <c r="F95" s="28"/>
      <c r="G95" s="28"/>
      <c r="H95" s="28"/>
      <c r="I95" s="28"/>
      <c r="J95" s="28">
        <v>29</v>
      </c>
      <c r="K95" s="28">
        <v>216</v>
      </c>
      <c r="L95" s="28">
        <v>97385</v>
      </c>
      <c r="M95" s="28">
        <v>64923</v>
      </c>
      <c r="N95" s="28">
        <v>64923</v>
      </c>
      <c r="O95" s="28">
        <v>64923</v>
      </c>
      <c r="P95" s="28">
        <v>64923</v>
      </c>
      <c r="Q95" s="28">
        <v>259694</v>
      </c>
      <c r="R95" s="28">
        <v>259694</v>
      </c>
    </row>
    <row r="96" customHeight="1" spans="1:18">
      <c r="A96" s="27" t="s">
        <v>290</v>
      </c>
      <c r="B96" s="27">
        <v>1360</v>
      </c>
      <c r="C96" s="27">
        <f t="shared" si="1"/>
        <v>964377</v>
      </c>
      <c r="E96" s="28"/>
      <c r="F96" s="28"/>
      <c r="G96" s="28"/>
      <c r="H96" s="28"/>
      <c r="I96" s="28"/>
      <c r="J96" s="28">
        <v>29</v>
      </c>
      <c r="K96" s="28">
        <v>216</v>
      </c>
      <c r="L96" s="28">
        <v>107126</v>
      </c>
      <c r="M96" s="28">
        <v>71417</v>
      </c>
      <c r="N96" s="28">
        <v>71417</v>
      </c>
      <c r="O96" s="28">
        <v>71417</v>
      </c>
      <c r="P96" s="28">
        <v>71417</v>
      </c>
      <c r="Q96" s="28">
        <v>285669</v>
      </c>
      <c r="R96" s="28">
        <v>285669</v>
      </c>
    </row>
    <row r="97" customHeight="1" spans="1:18">
      <c r="A97" s="27" t="s">
        <v>291</v>
      </c>
      <c r="B97" s="27">
        <v>1380</v>
      </c>
      <c r="C97" s="27">
        <f t="shared" si="1"/>
        <v>1060807</v>
      </c>
      <c r="E97" s="28"/>
      <c r="F97" s="28"/>
      <c r="G97" s="28"/>
      <c r="H97" s="28"/>
      <c r="I97" s="28"/>
      <c r="J97" s="28">
        <v>29</v>
      </c>
      <c r="K97" s="28">
        <v>216</v>
      </c>
      <c r="L97" s="28">
        <v>117840</v>
      </c>
      <c r="M97" s="28">
        <v>78560</v>
      </c>
      <c r="N97" s="28">
        <v>78560</v>
      </c>
      <c r="O97" s="28">
        <v>78560</v>
      </c>
      <c r="P97" s="28">
        <v>78560</v>
      </c>
      <c r="Q97" s="28">
        <v>314241</v>
      </c>
      <c r="R97" s="28">
        <v>314241</v>
      </c>
    </row>
    <row r="98" customHeight="1" spans="1:18">
      <c r="A98" s="27" t="s">
        <v>292</v>
      </c>
      <c r="B98" s="27">
        <v>1400</v>
      </c>
      <c r="C98" s="27">
        <f t="shared" si="1"/>
        <v>1166883</v>
      </c>
      <c r="E98" s="28"/>
      <c r="F98" s="28"/>
      <c r="G98" s="28"/>
      <c r="H98" s="28"/>
      <c r="I98" s="28"/>
      <c r="J98" s="28">
        <v>29</v>
      </c>
      <c r="K98" s="28">
        <v>216</v>
      </c>
      <c r="L98" s="28">
        <v>129626</v>
      </c>
      <c r="M98" s="28">
        <v>86418</v>
      </c>
      <c r="N98" s="28">
        <v>86418</v>
      </c>
      <c r="O98" s="28">
        <v>86418</v>
      </c>
      <c r="P98" s="28">
        <v>86418</v>
      </c>
      <c r="Q98" s="28">
        <v>345670</v>
      </c>
      <c r="R98" s="28">
        <v>345670</v>
      </c>
    </row>
    <row r="99" customHeight="1" spans="1:18">
      <c r="A99" s="27" t="s">
        <v>293</v>
      </c>
      <c r="B99" s="27">
        <v>1420</v>
      </c>
      <c r="C99" s="27">
        <f t="shared" si="1"/>
        <v>1283566</v>
      </c>
      <c r="E99" s="28"/>
      <c r="F99" s="28"/>
      <c r="G99" s="28"/>
      <c r="H99" s="28"/>
      <c r="I99" s="28"/>
      <c r="J99" s="28">
        <v>29</v>
      </c>
      <c r="K99" s="28">
        <v>216</v>
      </c>
      <c r="L99" s="28">
        <v>142591</v>
      </c>
      <c r="M99" s="28">
        <v>95061</v>
      </c>
      <c r="N99" s="28">
        <v>95061</v>
      </c>
      <c r="O99" s="28">
        <v>95061</v>
      </c>
      <c r="P99" s="28">
        <v>95061</v>
      </c>
      <c r="Q99" s="28">
        <v>380243</v>
      </c>
      <c r="R99" s="28">
        <v>380243</v>
      </c>
    </row>
    <row r="100" customHeight="1" spans="1:18">
      <c r="A100" s="27" t="s">
        <v>294</v>
      </c>
      <c r="B100" s="27">
        <v>1440</v>
      </c>
      <c r="C100" s="27">
        <f t="shared" si="1"/>
        <v>1411915</v>
      </c>
      <c r="E100" s="28"/>
      <c r="F100" s="28"/>
      <c r="G100" s="28"/>
      <c r="H100" s="28"/>
      <c r="I100" s="28"/>
      <c r="J100" s="28">
        <v>29</v>
      </c>
      <c r="K100" s="28">
        <v>216</v>
      </c>
      <c r="L100" s="28">
        <v>156852</v>
      </c>
      <c r="M100" s="28">
        <v>104568</v>
      </c>
      <c r="N100" s="28">
        <v>104568</v>
      </c>
      <c r="O100" s="28">
        <v>104568</v>
      </c>
      <c r="P100" s="28">
        <v>104568</v>
      </c>
      <c r="Q100" s="28">
        <v>418273</v>
      </c>
      <c r="R100" s="28">
        <v>418273</v>
      </c>
    </row>
    <row r="101" customHeight="1" spans="1:18">
      <c r="A101" s="27" t="s">
        <v>295</v>
      </c>
      <c r="B101" s="27">
        <v>1460</v>
      </c>
      <c r="C101" s="27">
        <f t="shared" si="1"/>
        <v>1553098</v>
      </c>
      <c r="E101" s="28"/>
      <c r="F101" s="28"/>
      <c r="G101" s="28"/>
      <c r="H101" s="28"/>
      <c r="I101" s="28"/>
      <c r="J101" s="28">
        <v>29</v>
      </c>
      <c r="K101" s="28">
        <v>216</v>
      </c>
      <c r="L101" s="28">
        <v>172539</v>
      </c>
      <c r="M101" s="28">
        <v>115026</v>
      </c>
      <c r="N101" s="28">
        <v>115026</v>
      </c>
      <c r="O101" s="28">
        <v>115026</v>
      </c>
      <c r="P101" s="28">
        <v>115026</v>
      </c>
      <c r="Q101" s="28">
        <v>460105</v>
      </c>
      <c r="R101" s="28">
        <v>460105</v>
      </c>
    </row>
    <row r="102" customHeight="1" spans="1:18">
      <c r="A102" s="27" t="s">
        <v>296</v>
      </c>
      <c r="B102" s="27">
        <v>1480</v>
      </c>
      <c r="C102" s="27">
        <f t="shared" si="1"/>
        <v>1708402</v>
      </c>
      <c r="E102" s="28"/>
      <c r="F102" s="28"/>
      <c r="G102" s="28"/>
      <c r="H102" s="28"/>
      <c r="I102" s="28"/>
      <c r="J102" s="28">
        <v>29</v>
      </c>
      <c r="K102" s="28">
        <v>216</v>
      </c>
      <c r="L102" s="28">
        <v>189795</v>
      </c>
      <c r="M102" s="28">
        <v>126530</v>
      </c>
      <c r="N102" s="28">
        <v>126530</v>
      </c>
      <c r="O102" s="28">
        <v>126530</v>
      </c>
      <c r="P102" s="28">
        <v>126530</v>
      </c>
      <c r="Q102" s="28">
        <v>506121</v>
      </c>
      <c r="R102" s="28">
        <v>506121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商品定位</vt:lpstr>
      <vt:lpstr>人口需求</vt:lpstr>
      <vt:lpstr>职业</vt:lpstr>
      <vt:lpstr>生活水平表格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稿子写完了吗</cp:lastModifiedBy>
  <dcterms:created xsi:type="dcterms:W3CDTF">2022-10-30T10:18:00Z</dcterms:created>
  <dcterms:modified xsi:type="dcterms:W3CDTF">2022-11-11T12:25:08Z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F36BCB3B190F407788062DE997B1E958</vt:lpwstr>
  </property>
  <property fmtid="{D5CDD505-2E9C-101B-9397-08002B2CF9AE}" pid="3" name="KSOProductBuildVer">
    <vt:lpwstr>2052-11.1.0.12763</vt:lpwstr>
  </property>
</Properties>
</file>