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679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44525"/>
</workbook>
</file>

<file path=xl/comments1.xml><?xml version="1.0" encoding="utf-8"?>
<comments xmlns="http://schemas.openxmlformats.org/spreadsheetml/2006/main">
  <authors>
    <author>Thunder Jia</author>
  </authors>
  <commentList>
    <comment ref="A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>
  <authors>
    <author>Thunder Jia</author>
  </authors>
  <commentList>
    <comment ref="T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>
  <authors>
    <author>Thunder Jia</author>
  </authors>
  <commentList>
    <comment ref="AV3" authorId="0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<sst xmlns="http://schemas.openxmlformats.org/spreadsheetml/2006/main" count="3778" uniqueCount="838">
  <si>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</si>
  <si>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</si>
  <si>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</si>
  <si>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</si>
  <si>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</si>
  <si>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</si>
  <si>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</si>
  <si>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</si>
  <si>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r>
      <t>2、</t>
    </r>
    <r>
      <rPr>
        <sz val="11"/>
        <color rgb="FFFF0000"/>
        <rFont val="宋体"/>
        <charset val="134"/>
        <scheme val="minor"/>
      </rPr>
      <t>sheet第一列必须是index</t>
    </r>
    <r>
      <rPr>
        <sz val="11"/>
        <color theme="1"/>
        <rFont val="宋体"/>
        <charset val="134"/>
        <scheme val="minor"/>
      </rPr>
      <t>，只读取sheet第一列的index</t>
    </r>
  </si>
  <si>
    <t>3、若为一般数据，则按照“%s = %s”%(title,content）来转txt即可</t>
  </si>
  <si>
    <t>4、对于正常sheet，第一行第一列格式应为"address="+你想要放到的文件夹名，如果不加文件夹名则默认放到目录下</t>
  </si>
  <si>
    <t>5、对于string_dictionary，第一行第一列的格式应为"fileName="+你想要的本地化文件名，此为必加</t>
  </si>
  <si>
    <t>6、转表后的txt文件名自动使用该sheet名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</si>
  <si>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</si>
  <si>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</si>
  <si>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</si>
  <si>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</si>
  <si>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</si>
  <si>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</si>
  <si>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</si>
  <si>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</si>
  <si>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</si>
  <si>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</si>
  <si>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</si>
  <si>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</si>
  <si>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</si>
  <si>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</si>
  <si>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</si>
  <si>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</si>
  <si>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</si>
  <si>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</si>
  <si>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</si>
  <si>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</si>
  <si>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</si>
  <si>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</si>
  <si>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</si>
  <si>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</si>
  <si>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</si>
  <si>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</si>
  <si>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</si>
  <si>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1、该sheet的index和value列写死了位置，不要动</t>
  </si>
  <si>
    <t>2、转表的时候自动把所有在index列的转为对应的value</t>
  </si>
  <si>
    <t>3、localization_english和localization_simp_chinese都为本地化文本字段</t>
  </si>
  <si>
    <t>address=goods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</si>
  <si>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</si>
  <si>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</si>
  <si>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</si>
  <si>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</si>
  <si>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</si>
  <si>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</si>
  <si>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</si>
  <si>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</si>
  <si>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</si>
  <si>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</si>
  <si>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</si>
  <si>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</si>
  <si>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</si>
  <si>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</si>
  <si>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</si>
  <si>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</si>
  <si>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</si>
  <si>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</si>
  <si>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</si>
  <si>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</si>
  <si>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</si>
  <si>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</si>
  <si>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</si>
  <si>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</si>
  <si>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</si>
  <si>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</si>
  <si>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</si>
  <si>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</si>
  <si>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</si>
  <si>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</si>
  <si>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</si>
  <si>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</si>
  <si>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</si>
  <si>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</si>
  <si>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</si>
  <si>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</si>
  <si>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</si>
  <si>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</si>
  <si>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</si>
  <si>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</si>
  <si>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</si>
  <si>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</si>
  <si>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</si>
  <si>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</si>
  <si>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</si>
  <si>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</si>
  <si>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</si>
  <si>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</si>
  <si>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</si>
  <si>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</si>
  <si>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</si>
  <si>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</si>
  <si>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</si>
  <si>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</si>
  <si>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</si>
  <si>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</si>
  <si>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</si>
  <si>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</si>
  <si>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</si>
  <si>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</si>
  <si>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</si>
  <si>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</si>
  <si>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</si>
  <si>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</si>
  <si>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</si>
  <si>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</si>
  <si>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</si>
  <si>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</si>
  <si>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</si>
  <si>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</si>
  <si>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</si>
  <si>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</si>
  <si>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</si>
  <si>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</si>
  <si>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</si>
  <si>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</si>
  <si>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</si>
  <si>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</si>
  <si>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</si>
  <si>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</si>
  <si>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</si>
  <si>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</si>
  <si>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</si>
  <si>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</si>
  <si>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</si>
  <si>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</si>
  <si>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</si>
  <si>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</si>
  <si>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</si>
  <si>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</si>
  <si>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</si>
  <si>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</si>
  <si>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</si>
  <si>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</si>
  <si>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</si>
  <si>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</si>
  <si>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</si>
  <si>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address=buy_packages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</si>
  <si>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</si>
  <si>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</si>
  <si>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</si>
  <si>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</si>
  <si>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</si>
  <si>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</si>
  <si>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</si>
  <si>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</si>
  <si>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</si>
  <si>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</si>
  <si>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</si>
  <si>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</si>
  <si>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</si>
  <si>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</si>
  <si>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</si>
  <si>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</si>
  <si>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</si>
  <si>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</si>
  <si>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</si>
  <si>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simple_clothing</t>
  </si>
  <si>
    <t>basic_food</t>
  </si>
  <si>
    <t>heating</t>
  </si>
  <si>
    <t>intoxicants</t>
  </si>
  <si>
    <t>wealth_2</t>
  </si>
  <si>
    <t>wealth_3</t>
  </si>
  <si>
    <t>wealth_4</t>
  </si>
  <si>
    <t>wealth_5</t>
  </si>
  <si>
    <t>crude_items</t>
  </si>
  <si>
    <t>wealth_6</t>
  </si>
  <si>
    <t>wealth_7</t>
  </si>
  <si>
    <t>wealth_8</t>
  </si>
  <si>
    <t>wealth_9</t>
  </si>
  <si>
    <t>wealth_10</t>
  </si>
  <si>
    <t>standard_clothing</t>
  </si>
  <si>
    <t>household_items</t>
  </si>
  <si>
    <t>services</t>
  </si>
  <si>
    <t>wealth_11</t>
  </si>
  <si>
    <t>wealth_12</t>
  </si>
  <si>
    <t>wealth_13</t>
  </si>
  <si>
    <t>wealth_14</t>
  </si>
  <si>
    <t>wealth_15</t>
  </si>
  <si>
    <t>luxury_drinks</t>
  </si>
  <si>
    <t>free_movement</t>
  </si>
  <si>
    <t>luxury_items</t>
  </si>
  <si>
    <t>wealth_16</t>
  </si>
  <si>
    <t>wealth_17</t>
  </si>
  <si>
    <t>wealth_18</t>
  </si>
  <si>
    <t>wealth_19</t>
  </si>
  <si>
    <t>wealth_20</t>
  </si>
  <si>
    <t>communication</t>
  </si>
  <si>
    <t>luxury_food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</si>
  <si>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</si>
  <si>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</si>
  <si>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</si>
  <si>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</si>
  <si>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</si>
  <si>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</si>
  <si>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</si>
  <si>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</si>
  <si>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</si>
  <si>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</si>
  <si>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</si>
  <si>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</si>
  <si>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</si>
  <si>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</si>
  <si>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</si>
  <si>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</si>
  <si>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</si>
  <si>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</si>
  <si>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</si>
  <si>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</si>
  <si>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</si>
  <si>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</si>
  <si>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</si>
  <si>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</si>
  <si>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</si>
  <si>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</si>
  <si>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</si>
  <si>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</si>
  <si>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</si>
  <si>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</si>
  <si>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</si>
  <si>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</si>
  <si>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</si>
  <si>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</si>
  <si>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</si>
  <si>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</si>
  <si>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</si>
  <si>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</si>
  <si>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</si>
  <si>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</si>
  <si>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</si>
  <si>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</si>
  <si>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</si>
  <si>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</si>
  <si>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</si>
  <si>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</si>
  <si>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</si>
  <si>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</si>
  <si>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</si>
  <si>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</si>
  <si>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</si>
  <si>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</si>
  <si>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</si>
  <si>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</si>
  <si>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</si>
  <si>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</si>
  <si>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</si>
  <si>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</si>
  <si>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</si>
  <si>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</si>
  <si>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</si>
  <si>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</si>
  <si>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</si>
  <si>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</si>
  <si>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</si>
  <si>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</si>
  <si>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</si>
  <si>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</si>
  <si>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</si>
  <si>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</si>
  <si>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</si>
  <si>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</si>
  <si>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</si>
  <si>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</si>
  <si>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</si>
  <si>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</si>
  <si>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</si>
  <si>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</si>
  <si>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</si>
  <si>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</si>
  <si>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</si>
  <si>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</si>
  <si>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</si>
  <si>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</si>
  <si>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</si>
  <si>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</si>
  <si>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</si>
  <si>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</si>
  <si>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</si>
  <si>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</si>
  <si>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</si>
  <si>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</si>
  <si>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</si>
  <si>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</si>
  <si>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</si>
  <si>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</si>
  <si>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</si>
  <si>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</si>
  <si>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</si>
  <si>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</si>
  <si>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</si>
  <si>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</si>
  <si>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</si>
  <si>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</si>
  <si>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address=buildings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</si>
  <si>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</si>
  <si>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</si>
  <si>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</si>
  <si>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</si>
  <si>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</si>
  <si>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</si>
  <si>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</si>
  <si>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</si>
  <si>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</si>
  <si>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</si>
  <si>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</si>
  <si>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</si>
  <si>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</si>
  <si>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</si>
  <si>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</si>
  <si>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</si>
  <si>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</si>
  <si>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</si>
  <si>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</si>
  <si>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</si>
  <si>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</si>
  <si>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</si>
  <si>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</si>
  <si>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</si>
  <si>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</si>
  <si>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</si>
  <si>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</si>
  <si>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</si>
  <si>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</si>
  <si>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</si>
  <si>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</si>
  <si>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</si>
  <si>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</si>
  <si>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</si>
  <si>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</si>
  <si>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</si>
  <si>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</si>
  <si>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</si>
  <si>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</si>
  <si>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</si>
  <si>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</si>
  <si>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</si>
  <si>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</si>
  <si>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</si>
  <si>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</si>
  <si>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</si>
  <si>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</si>
  <si>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</si>
  <si>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</si>
  <si>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</si>
  <si>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</si>
  <si>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</si>
  <si>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</si>
  <si>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</si>
  <si>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</si>
  <si>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</si>
  <si>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</si>
  <si>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</si>
  <si>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</si>
  <si>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</si>
  <si>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</si>
  <si>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</si>
  <si>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</si>
  <si>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</si>
  <si>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</si>
  <si>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address=production_method_groups</t>
  </si>
  <si>
    <t>production_method_groups,8,1</t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</si>
  <si>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</si>
  <si>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</si>
  <si>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</si>
  <si>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</si>
  <si>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</si>
  <si>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</si>
  <si>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</si>
  <si>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</si>
  <si>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</si>
  <si>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</si>
  <si>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</si>
  <si>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</si>
  <si>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</si>
  <si>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</si>
  <si>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</si>
  <si>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</si>
  <si>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</si>
  <si>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</si>
  <si>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</si>
  <si>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</si>
  <si>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</si>
  <si>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</si>
  <si>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</si>
  <si>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</si>
  <si>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</si>
  <si>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</si>
  <si>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</si>
  <si>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</si>
  <si>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</si>
  <si>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</si>
  <si>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</si>
  <si>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</si>
  <si>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</si>
  <si>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</si>
  <si>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</si>
  <si>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</si>
  <si>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</si>
  <si>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</si>
  <si>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</si>
  <si>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</si>
  <si>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</si>
  <si>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</si>
  <si>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</si>
  <si>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</si>
  <si>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</si>
  <si>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</si>
  <si>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</si>
  <si>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</si>
  <si>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</si>
  <si>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</si>
  <si>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</si>
  <si>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</si>
  <si>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</si>
  <si>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</si>
  <si>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</si>
  <si>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</si>
  <si>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</si>
  <si>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</si>
  <si>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</si>
  <si>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</si>
  <si>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</si>
  <si>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</si>
  <si>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</si>
  <si>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</si>
  <si>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</si>
  <si>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</si>
  <si>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</si>
  <si>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</si>
  <si>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</si>
  <si>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</si>
  <si>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</si>
  <si>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</si>
  <si>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</si>
  <si>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</si>
  <si>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</si>
  <si>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</si>
  <si>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</si>
  <si>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</si>
  <si>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</si>
  <si>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</si>
  <si>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</si>
  <si>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</si>
  <si>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</si>
  <si>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</si>
  <si>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</si>
  <si>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</si>
  <si>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</si>
  <si>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</si>
  <si>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</si>
  <si>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</si>
  <si>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</si>
  <si>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</si>
  <si>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</si>
  <si>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</si>
  <si>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</si>
  <si>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</si>
  <si>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</si>
  <si>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</si>
  <si>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</si>
  <si>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</si>
  <si>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</si>
  <si>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</si>
  <si>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</si>
  <si>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</si>
  <si>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</si>
  <si>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</si>
  <si>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</si>
  <si>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</si>
  <si>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</si>
  <si>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</si>
  <si>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</si>
  <si>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</si>
  <si>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</si>
  <si>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</si>
  <si>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</si>
  <si>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</si>
  <si>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</si>
  <si>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</si>
  <si>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</si>
  <si>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</si>
  <si>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</si>
  <si>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</si>
  <si>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</si>
  <si>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</si>
  <si>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</si>
  <si>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</si>
  <si>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</si>
  <si>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</si>
  <si>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</si>
  <si>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</si>
  <si>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</si>
  <si>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</si>
  <si>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</si>
  <si>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</si>
  <si>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</si>
  <si>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</si>
  <si>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</si>
  <si>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</si>
  <si>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</si>
  <si>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</si>
  <si>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</si>
  <si>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</si>
  <si>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</si>
  <si>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</si>
  <si>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</si>
  <si>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</si>
  <si>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</si>
  <si>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</si>
  <si>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</si>
  <si>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</si>
  <si>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</si>
  <si>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</si>
  <si>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</si>
  <si>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</si>
  <si>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</si>
  <si>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</si>
  <si>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</si>
  <si>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</si>
  <si>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</si>
  <si>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</si>
  <si>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</si>
  <si>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</si>
  <si>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</si>
  <si>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</si>
  <si>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</si>
  <si>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</si>
  <si>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</si>
  <si>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</si>
  <si>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</si>
  <si>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</si>
  <si>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</si>
  <si>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</si>
  <si>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</si>
  <si>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</si>
  <si>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</si>
  <si>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</si>
  <si>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</si>
  <si>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</si>
  <si>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</si>
  <si>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address=production_methods</t>
  </si>
  <si>
    <t xml:space="preserve">unlocking_production_methods,2,1 </t>
  </si>
  <si>
    <t>disallowing_laws,3,1</t>
  </si>
  <si>
    <t>building_modifiers.workforce_scaled,7,2</t>
  </si>
  <si>
    <t>building_modifiers.level_scaled,3,2</t>
  </si>
  <si>
    <t>building_modifiers.unscaled,3,2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</si>
  <si>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</si>
  <si>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</si>
  <si>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</si>
  <si>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</si>
  <si>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</si>
  <si>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</si>
  <si>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</si>
  <si>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</si>
  <si>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</si>
  <si>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</si>
  <si>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</si>
  <si>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</si>
  <si>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</si>
  <si>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</si>
  <si>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</si>
  <si>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</si>
  <si>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</si>
  <si>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</si>
  <si>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</si>
  <si>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</si>
  <si>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</si>
  <si>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</si>
  <si>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</si>
  <si>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</si>
  <si>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</si>
  <si>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</si>
  <si>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</si>
  <si>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</si>
  <si>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</si>
  <si>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</si>
  <si>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</si>
  <si>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</si>
  <si>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</si>
  <si>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</si>
  <si>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</si>
  <si>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</si>
  <si>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</si>
  <si>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</si>
  <si>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</si>
  <si>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</si>
  <si>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</si>
  <si>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</si>
  <si>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</si>
  <si>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</si>
  <si>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</si>
  <si>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</si>
  <si>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</si>
  <si>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</si>
  <si>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</si>
  <si>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</si>
  <si>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</si>
  <si>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</si>
  <si>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</si>
  <si>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</si>
  <si>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</si>
  <si>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</si>
  <si>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</si>
  <si>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</si>
  <si>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</si>
  <si>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</si>
  <si>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</si>
  <si>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</si>
  <si>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</si>
  <si>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</si>
  <si>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</si>
  <si>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</si>
  <si>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fileName=economy</t>
  </si>
  <si>
    <t>note_所属表格</t>
  </si>
  <si>
    <t>localization_english</t>
  </si>
  <si>
    <t>localization_simp_chinese</t>
  </si>
  <si>
    <t>中文字符串（该列位置写死，本地化要用）</t>
  </si>
  <si>
    <t>转表后英文字符串（该列位置写死，本地化要用）</t>
  </si>
  <si>
    <t>本地化文本</t>
  </si>
  <si>
    <t>pm_merchant_guilds_heavy_industry</t>
  </si>
  <si>
    <t>english</t>
  </si>
  <si>
    <t>简中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</si>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</sst>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30" borderId="11" applyNumberFormat="0" applyAlignment="0" applyProtection="0">
      <alignment vertical="center"/>
    </xf>
    <xf numFmtId="0" fontId="23" fillId="30" borderId="7" applyNumberFormat="0" applyAlignment="0" applyProtection="0">
      <alignment vertical="center"/>
    </xf>
    <xf numFmtId="0" fontId="24" fillId="31" borderId="12" applyNumberForma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6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C4C3D5"/>
      <color rgb="00AAAAC6"/>
      <color rgb="005664A1"/>
      <color rgb="0095A3C6"/>
      <color rgb="00F8DD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K40"/>
  <sheetViews>
    <sheetView showGridLines="0" tabSelected="1" workbookViewId="0">
      <selection activeCell="A17" sqref="A17"/>
    </sheetView>
  </sheetViews>
  <sheetFormatPr defaultColWidth="9" defaultRowHeight="19" customHeight="1"/>
  <cols>
    <col min="1" max="1" width="10.5" customWidth="1"/>
    <col min="2" max="2" width="24.625" customWidth="1"/>
    <col min="3" max="3" width="11.125" customWidth="1"/>
  </cols>
  <sheetData>
    <row r="2" customHeight="1" spans="1:1">
      <c r="A2" t="s">
        <v>0</v>
      </c>
    </row>
    <row r="3" customHeight="1" spans="1:1">
      <c r="A3" t="s">
        <v>1</v>
      </c>
    </row>
    <row r="4" customHeight="1" spans="1:1">
      <c r="A4" t="s">
        <v>2</v>
      </c>
    </row>
    <row r="6" customHeight="1" spans="1:1">
      <c r="A6" s="3" t="s">
        <v>3</v>
      </c>
    </row>
    <row r="7" customHeight="1" spans="1:1">
      <c r="A7" t="s">
        <v>4</v>
      </c>
    </row>
    <row r="9" customHeight="1" spans="1:1">
      <c r="A9" s="3" t="s">
        <v>5</v>
      </c>
    </row>
    <row r="10" customHeight="1" spans="1:1">
      <c r="A10" s="3" t="s">
        <v>6</v>
      </c>
    </row>
    <row r="11" customHeight="1" spans="1:1">
      <c r="A11" s="64" t="s">
        <v>7</v>
      </c>
    </row>
    <row r="12" customHeight="1" spans="1:1">
      <c r="A12" s="64" t="s">
        <v>8</v>
      </c>
    </row>
    <row r="13" customHeight="1" spans="1:1">
      <c r="A13" t="s">
        <v>9</v>
      </c>
    </row>
    <row r="14" customHeight="1" spans="1:1">
      <c r="A14" t="s">
        <v>10</v>
      </c>
    </row>
    <row r="15" customHeight="1" spans="1:1">
      <c r="A15" t="s">
        <v>11</v>
      </c>
    </row>
    <row r="16" customHeight="1" spans="1:1">
      <c r="A16" t="s">
        <v>12</v>
      </c>
    </row>
    <row r="18" customHeight="1" spans="1:1">
      <c r="A18" s="3" t="s">
        <v>13</v>
      </c>
    </row>
    <row r="19" customHeight="1" spans="1:1">
      <c r="A19" t="s">
        <v>14</v>
      </c>
    </row>
    <row r="20" customHeight="1" spans="1:1">
      <c r="A20" t="s">
        <v>15</v>
      </c>
    </row>
    <row r="21" customHeight="1" spans="1:1">
      <c r="A21" t="s">
        <v>16</v>
      </c>
    </row>
    <row r="22" customHeight="1" spans="1:11">
      <c r="A22" s="65" t="s">
        <v>17</v>
      </c>
      <c r="B22" s="65" t="s">
        <v>18</v>
      </c>
      <c r="C22" s="65" t="s">
        <v>19</v>
      </c>
      <c r="D22" s="65" t="s">
        <v>20</v>
      </c>
      <c r="E22" s="65" t="s">
        <v>19</v>
      </c>
      <c r="F22" s="65" t="s">
        <v>20</v>
      </c>
      <c r="G22" s="65" t="s">
        <v>19</v>
      </c>
      <c r="H22" s="65" t="s">
        <v>20</v>
      </c>
      <c r="I22" s="65" t="s">
        <v>21</v>
      </c>
      <c r="J22" s="65" t="s">
        <v>20</v>
      </c>
      <c r="K22" s="65" t="s">
        <v>20</v>
      </c>
    </row>
    <row r="23" customHeight="1" spans="1:11">
      <c r="A23" s="65" t="s">
        <v>22</v>
      </c>
      <c r="B23" s="65"/>
      <c r="C23" s="65" t="s">
        <v>23</v>
      </c>
      <c r="D23" s="65">
        <v>1</v>
      </c>
      <c r="E23" s="65" t="s">
        <v>24</v>
      </c>
      <c r="F23" s="65">
        <v>1</v>
      </c>
      <c r="G23" s="65" t="s">
        <v>25</v>
      </c>
      <c r="H23" s="65">
        <v>1</v>
      </c>
      <c r="I23" s="65"/>
      <c r="J23" s="65" t="s">
        <v>26</v>
      </c>
      <c r="K23" s="65" t="s">
        <v>27</v>
      </c>
    </row>
    <row r="24" customHeight="1" spans="1:1">
      <c r="A24" t="s">
        <v>28</v>
      </c>
    </row>
    <row r="25" ht="153" customHeight="1" spans="2:2">
      <c r="B25" s="66" t="s">
        <v>29</v>
      </c>
    </row>
    <row r="26" ht="20" customHeight="1" spans="2:2">
      <c r="B26" s="66"/>
    </row>
    <row r="27" customHeight="1" spans="1:1">
      <c r="A27" s="3" t="s">
        <v>30</v>
      </c>
    </row>
    <row r="28" customHeight="1" spans="1:1">
      <c r="A28" t="s">
        <v>31</v>
      </c>
    </row>
    <row r="29" customHeight="1" spans="1:1">
      <c r="A29" t="s">
        <v>32</v>
      </c>
    </row>
    <row r="30" customHeight="1" spans="1:1">
      <c r="A30" t="s">
        <v>33</v>
      </c>
    </row>
    <row r="31" ht="76" customHeight="1" spans="2:2">
      <c r="B31" s="66" t="s">
        <v>34</v>
      </c>
    </row>
    <row r="32" customHeight="1" spans="1:1">
      <c r="A32" t="s">
        <v>35</v>
      </c>
    </row>
    <row r="33" customHeight="1" spans="1:1">
      <c r="A33" t="s">
        <v>36</v>
      </c>
    </row>
    <row r="34" customHeight="1" spans="1:1">
      <c r="A34" t="s">
        <v>37</v>
      </c>
    </row>
    <row r="35" customHeight="1" spans="1:1">
      <c r="A35" t="s">
        <v>38</v>
      </c>
    </row>
    <row r="36" customHeight="1" spans="1:1">
      <c r="A36" s="3"/>
    </row>
    <row r="37" customHeight="1" spans="1:1">
      <c r="A37" s="3" t="s">
        <v>39</v>
      </c>
    </row>
    <row r="38" customHeight="1" spans="1:1">
      <c r="A38" t="s">
        <v>40</v>
      </c>
    </row>
    <row r="39" customHeight="1" spans="1:1">
      <c r="A39" t="s">
        <v>41</v>
      </c>
    </row>
    <row r="40" customHeight="1" spans="1:1">
      <c r="A40" t="s">
        <v>42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61"/>
  <sheetViews>
    <sheetView showGridLines="0" zoomScale="90" zoomScaleNormal="90" workbookViewId="0">
      <pane ySplit="3" topLeftCell="A4" activePane="bottomLeft" state="frozen"/>
      <selection/>
      <selection pane="bottomLeft" activeCell="A1" sqref="A1"/>
    </sheetView>
  </sheetViews>
  <sheetFormatPr defaultColWidth="9" defaultRowHeight="19.95" customHeight="1"/>
  <cols>
    <col min="1" max="1" width="17.2166666666667" style="60" customWidth="1"/>
    <col min="2" max="2" width="22.075" style="60" customWidth="1"/>
    <col min="3" max="3" width="17.9083333333333" style="60" customWidth="1"/>
    <col min="4" max="4" width="21.5" style="60" customWidth="1"/>
    <col min="5" max="6" width="17.125" style="60" customWidth="1"/>
    <col min="7" max="7" width="24.875" style="60" customWidth="1"/>
    <col min="8" max="8" width="22.625" style="61" customWidth="1"/>
    <col min="9" max="9" width="43.7416666666667" style="61" customWidth="1"/>
    <col min="10" max="14" width="13.1083333333333" style="61" customWidth="1"/>
    <col min="15" max="16384" width="9" style="61"/>
  </cols>
  <sheetData>
    <row r="1" ht="33" customHeight="1" spans="1:4">
      <c r="A1" s="26" t="s">
        <v>43</v>
      </c>
      <c r="B1" s="4" t="s">
        <v>44</v>
      </c>
      <c r="C1" s="5" t="s">
        <v>44</v>
      </c>
      <c r="D1" s="6" t="s">
        <v>44</v>
      </c>
    </row>
    <row r="2" customHeight="1" spans="1:9">
      <c r="A2" s="37" t="s">
        <v>45</v>
      </c>
      <c r="B2" s="39" t="s">
        <v>46</v>
      </c>
      <c r="C2" s="37" t="s">
        <v>47</v>
      </c>
      <c r="D2" s="37" t="s">
        <v>48</v>
      </c>
      <c r="E2" s="37" t="s">
        <v>49</v>
      </c>
      <c r="F2" s="37" t="s">
        <v>50</v>
      </c>
      <c r="G2" s="37" t="s">
        <v>51</v>
      </c>
      <c r="H2" s="37" t="s">
        <v>52</v>
      </c>
      <c r="I2" s="37" t="s">
        <v>53</v>
      </c>
    </row>
    <row r="3" ht="30" customHeight="1" spans="1:19">
      <c r="A3" s="37" t="s">
        <v>54</v>
      </c>
      <c r="B3" s="39" t="s">
        <v>55</v>
      </c>
      <c r="C3" s="37" t="s">
        <v>56</v>
      </c>
      <c r="D3" s="37" t="s">
        <v>57</v>
      </c>
      <c r="E3" s="37" t="s">
        <v>58</v>
      </c>
      <c r="F3" s="37" t="s">
        <v>59</v>
      </c>
      <c r="G3" s="37" t="s">
        <v>60</v>
      </c>
      <c r="H3" s="37" t="s">
        <v>61</v>
      </c>
      <c r="I3" s="37" t="s">
        <v>62</v>
      </c>
      <c r="K3"/>
      <c r="L3"/>
      <c r="M3"/>
      <c r="N3"/>
      <c r="O3"/>
      <c r="P3"/>
      <c r="Q3"/>
      <c r="R3"/>
      <c r="S3"/>
    </row>
    <row r="4" ht="22.05" customHeight="1" spans="1:19">
      <c r="A4" s="62" t="s">
        <v>63</v>
      </c>
      <c r="B4" s="60" t="s">
        <v>64</v>
      </c>
      <c r="C4" s="60" t="s">
        <v>65</v>
      </c>
      <c r="D4" s="63">
        <v>20</v>
      </c>
      <c r="E4"/>
      <c r="F4"/>
      <c r="G4"/>
      <c r="H4"/>
      <c r="I4" t="s">
        <v>66</v>
      </c>
      <c r="J4"/>
      <c r="K4"/>
      <c r="L4"/>
      <c r="M4"/>
      <c r="N4"/>
      <c r="O4"/>
      <c r="P4"/>
      <c r="Q4"/>
      <c r="R4"/>
      <c r="S4"/>
    </row>
    <row r="5" ht="22.05" customHeight="1" spans="1:19">
      <c r="A5" s="62" t="s">
        <v>67</v>
      </c>
      <c r="B5" s="60" t="s">
        <v>64</v>
      </c>
      <c r="D5" s="63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ht="22.05" customHeight="1" spans="1:19">
      <c r="A6" s="62" t="s">
        <v>68</v>
      </c>
      <c r="B6" s="60" t="s">
        <v>69</v>
      </c>
      <c r="D6" s="63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ht="22.05" customHeight="1" spans="1:19">
      <c r="A7" s="62" t="s">
        <v>70</v>
      </c>
      <c r="B7" s="60" t="s">
        <v>69</v>
      </c>
      <c r="D7" s="63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ht="22.05" customHeight="1" spans="1:19">
      <c r="A8" s="62" t="s">
        <v>71</v>
      </c>
      <c r="B8" s="60" t="s">
        <v>69</v>
      </c>
      <c r="D8" s="63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ht="22.05" customHeight="1" spans="1:19">
      <c r="A9" s="62" t="s">
        <v>72</v>
      </c>
      <c r="B9" s="60" t="s">
        <v>73</v>
      </c>
      <c r="D9" s="63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ht="22.05" customHeight="1" spans="1:19">
      <c r="A10" s="62" t="s">
        <v>74</v>
      </c>
      <c r="B10" s="60" t="s">
        <v>73</v>
      </c>
      <c r="D10" s="63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ht="22.05" customHeight="1" spans="1:19">
      <c r="A11" s="62" t="s">
        <v>75</v>
      </c>
      <c r="B11" s="60" t="s">
        <v>73</v>
      </c>
      <c r="D11" s="63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ht="22.05" customHeight="1" spans="1:19">
      <c r="A12" s="62" t="s">
        <v>76</v>
      </c>
      <c r="B12" s="60" t="s">
        <v>73</v>
      </c>
      <c r="D12" s="63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ht="22.05" customHeight="1" spans="1:19">
      <c r="A13" s="62" t="s">
        <v>77</v>
      </c>
      <c r="B13" s="60" t="s">
        <v>78</v>
      </c>
      <c r="D13" s="63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ht="22.05" customHeight="1" spans="1:19">
      <c r="A14" s="62" t="s">
        <v>79</v>
      </c>
      <c r="B14" s="60" t="s">
        <v>78</v>
      </c>
      <c r="D14" s="63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ht="22.05" customHeight="1" spans="1:19">
      <c r="A15" s="62" t="s">
        <v>80</v>
      </c>
      <c r="B15" s="60" t="s">
        <v>78</v>
      </c>
      <c r="D15" s="63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ht="22.05" customHeight="1" spans="1:19">
      <c r="A16" s="62" t="s">
        <v>81</v>
      </c>
      <c r="B16" s="60" t="s">
        <v>82</v>
      </c>
      <c r="D16" s="63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ht="22.05" customHeight="1" spans="1:19">
      <c r="A17" s="62" t="s">
        <v>83</v>
      </c>
      <c r="B17" s="60" t="s">
        <v>82</v>
      </c>
      <c r="D17" s="63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ht="22.05" customHeight="1" spans="1:19">
      <c r="A18" s="62" t="s">
        <v>24</v>
      </c>
      <c r="B18" s="60" t="s">
        <v>82</v>
      </c>
      <c r="D18" s="63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ht="22.05" customHeight="1" spans="1:19">
      <c r="A19" s="62" t="s">
        <v>84</v>
      </c>
      <c r="B19" s="60" t="s">
        <v>85</v>
      </c>
      <c r="D19" s="63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ht="22.05" customHeight="1" spans="1:19">
      <c r="A20" s="62" t="s">
        <v>86</v>
      </c>
      <c r="B20" s="60" t="s">
        <v>85</v>
      </c>
      <c r="D20" s="63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customHeight="1" spans="1:4">
      <c r="A21" s="62" t="s">
        <v>87</v>
      </c>
      <c r="B21" s="60" t="s">
        <v>88</v>
      </c>
      <c r="D21" s="63">
        <v>30</v>
      </c>
    </row>
    <row r="22" customHeight="1" spans="1:4">
      <c r="A22" s="62" t="s">
        <v>89</v>
      </c>
      <c r="B22" s="60" t="s">
        <v>88</v>
      </c>
      <c r="D22" s="63">
        <v>30</v>
      </c>
    </row>
    <row r="23" customHeight="1" spans="1:4">
      <c r="A23" s="62" t="s">
        <v>90</v>
      </c>
      <c r="B23" s="60" t="s">
        <v>88</v>
      </c>
      <c r="D23" s="63">
        <v>50</v>
      </c>
    </row>
    <row r="24" customHeight="1" spans="1:4">
      <c r="A24" s="62" t="s">
        <v>91</v>
      </c>
      <c r="B24" s="60" t="s">
        <v>88</v>
      </c>
      <c r="D24" s="63">
        <v>50</v>
      </c>
    </row>
    <row r="25" customHeight="1" spans="1:4">
      <c r="A25" s="62" t="s">
        <v>92</v>
      </c>
      <c r="B25" s="60" t="s">
        <v>93</v>
      </c>
      <c r="D25" s="63">
        <v>30</v>
      </c>
    </row>
    <row r="26" customHeight="1" spans="1:4">
      <c r="A26" s="62" t="s">
        <v>94</v>
      </c>
      <c r="B26" s="60" t="s">
        <v>93</v>
      </c>
      <c r="D26" s="63">
        <v>30</v>
      </c>
    </row>
    <row r="27" customHeight="1" spans="1:4">
      <c r="A27" s="62" t="s">
        <v>95</v>
      </c>
      <c r="B27" s="60" t="s">
        <v>93</v>
      </c>
      <c r="D27" s="63">
        <v>30</v>
      </c>
    </row>
    <row r="28" customHeight="1" spans="1:4">
      <c r="A28" s="62" t="s">
        <v>96</v>
      </c>
      <c r="B28" s="60" t="s">
        <v>93</v>
      </c>
      <c r="D28" s="63">
        <v>30</v>
      </c>
    </row>
    <row r="29" customHeight="1" spans="1:4">
      <c r="A29" s="62" t="s">
        <v>97</v>
      </c>
      <c r="B29" s="60" t="s">
        <v>93</v>
      </c>
      <c r="D29" s="63">
        <v>30</v>
      </c>
    </row>
    <row r="30" customHeight="1" spans="1:4">
      <c r="A30" s="62" t="s">
        <v>98</v>
      </c>
      <c r="B30" s="60" t="s">
        <v>93</v>
      </c>
      <c r="D30" s="63">
        <v>30</v>
      </c>
    </row>
    <row r="31" customHeight="1" spans="1:4">
      <c r="A31" s="62" t="s">
        <v>99</v>
      </c>
      <c r="B31" s="60" t="s">
        <v>100</v>
      </c>
      <c r="D31" s="63">
        <v>50</v>
      </c>
    </row>
    <row r="32" customHeight="1" spans="1:4">
      <c r="A32" s="62" t="s">
        <v>101</v>
      </c>
      <c r="B32" s="60" t="s">
        <v>100</v>
      </c>
      <c r="D32" s="63">
        <v>50</v>
      </c>
    </row>
    <row r="33" customHeight="1" spans="1:4">
      <c r="A33" s="62" t="s">
        <v>102</v>
      </c>
      <c r="B33" s="60" t="s">
        <v>100</v>
      </c>
      <c r="D33" s="63">
        <v>50</v>
      </c>
    </row>
    <row r="34" customHeight="1" spans="1:4">
      <c r="A34" s="62" t="s">
        <v>103</v>
      </c>
      <c r="B34" s="60" t="s">
        <v>100</v>
      </c>
      <c r="D34" s="63">
        <v>50</v>
      </c>
    </row>
    <row r="35" customHeight="1" spans="1:4">
      <c r="A35" s="62" t="s">
        <v>104</v>
      </c>
      <c r="B35" s="60" t="s">
        <v>105</v>
      </c>
      <c r="D35" s="63">
        <v>70</v>
      </c>
    </row>
    <row r="36" customHeight="1" spans="1:4">
      <c r="A36" s="62" t="s">
        <v>106</v>
      </c>
      <c r="B36" s="60" t="s">
        <v>105</v>
      </c>
      <c r="D36" s="63">
        <v>70</v>
      </c>
    </row>
    <row r="37" customHeight="1" spans="1:4">
      <c r="A37" s="62" t="s">
        <v>107</v>
      </c>
      <c r="B37" s="60" t="s">
        <v>105</v>
      </c>
      <c r="D37" s="63">
        <v>70</v>
      </c>
    </row>
    <row r="38" customHeight="1" spans="1:4">
      <c r="A38" s="62" t="s">
        <v>108</v>
      </c>
      <c r="B38" s="60" t="s">
        <v>109</v>
      </c>
      <c r="D38" s="63">
        <v>40</v>
      </c>
    </row>
    <row r="39" customHeight="1" spans="1:4">
      <c r="A39" s="62" t="s">
        <v>110</v>
      </c>
      <c r="B39" s="60" t="s">
        <v>109</v>
      </c>
      <c r="D39" s="63">
        <v>40</v>
      </c>
    </row>
    <row r="40" customHeight="1" spans="1:4">
      <c r="A40" s="62" t="s">
        <v>111</v>
      </c>
      <c r="B40" s="60" t="s">
        <v>112</v>
      </c>
      <c r="D40" s="63">
        <v>60</v>
      </c>
    </row>
    <row r="41" customHeight="1" spans="1:4">
      <c r="A41" s="62" t="s">
        <v>113</v>
      </c>
      <c r="B41" s="60" t="s">
        <v>112</v>
      </c>
      <c r="D41" s="63">
        <v>60</v>
      </c>
    </row>
    <row r="42" customHeight="1" spans="1:4">
      <c r="A42" s="62" t="s">
        <v>114</v>
      </c>
      <c r="B42" s="60" t="s">
        <v>115</v>
      </c>
      <c r="D42" s="63">
        <v>80</v>
      </c>
    </row>
    <row r="43" customHeight="1" spans="1:4">
      <c r="A43" s="62" t="s">
        <v>116</v>
      </c>
      <c r="B43" s="60" t="s">
        <v>117</v>
      </c>
      <c r="D43" s="63">
        <v>40</v>
      </c>
    </row>
    <row r="44" customHeight="1" spans="1:4">
      <c r="A44" s="62" t="s">
        <v>118</v>
      </c>
      <c r="B44" s="60" t="s">
        <v>117</v>
      </c>
      <c r="D44" s="63">
        <v>40</v>
      </c>
    </row>
    <row r="45" customHeight="1" spans="1:4">
      <c r="A45" s="62" t="s">
        <v>119</v>
      </c>
      <c r="B45" s="60" t="s">
        <v>120</v>
      </c>
      <c r="D45" s="63">
        <f>D59</f>
        <v>10</v>
      </c>
    </row>
    <row r="46" customHeight="1" spans="1:4">
      <c r="A46" s="62" t="s">
        <v>121</v>
      </c>
      <c r="B46" s="60" t="s">
        <v>120</v>
      </c>
      <c r="D46" s="63">
        <v>60</v>
      </c>
    </row>
    <row r="47" customHeight="1" spans="1:4">
      <c r="A47" s="62" t="s">
        <v>122</v>
      </c>
      <c r="B47" s="60" t="s">
        <v>123</v>
      </c>
      <c r="D47" s="63">
        <v>80</v>
      </c>
    </row>
    <row r="48" customHeight="1" spans="1:4">
      <c r="A48" s="62" t="s">
        <v>124</v>
      </c>
      <c r="B48" s="60" t="s">
        <v>123</v>
      </c>
      <c r="D48" s="63">
        <v>80</v>
      </c>
    </row>
    <row r="49" customHeight="1" spans="1:4">
      <c r="A49" s="62" t="s">
        <v>125</v>
      </c>
      <c r="B49" s="60" t="s">
        <v>126</v>
      </c>
      <c r="D49" s="63">
        <v>60</v>
      </c>
    </row>
    <row r="50" customHeight="1" spans="1:4">
      <c r="A50" s="62" t="s">
        <v>127</v>
      </c>
      <c r="B50" s="60" t="s">
        <v>126</v>
      </c>
      <c r="D50" s="63">
        <v>60</v>
      </c>
    </row>
    <row r="51" customHeight="1" spans="1:4">
      <c r="A51" s="62" t="s">
        <v>128</v>
      </c>
      <c r="B51" s="60" t="s">
        <v>126</v>
      </c>
      <c r="D51" s="63">
        <v>60</v>
      </c>
    </row>
    <row r="52" customHeight="1" spans="1:4">
      <c r="A52" s="62" t="s">
        <v>129</v>
      </c>
      <c r="B52" s="60" t="s">
        <v>130</v>
      </c>
      <c r="D52" s="63">
        <v>80</v>
      </c>
    </row>
    <row r="53" customHeight="1" spans="1:4">
      <c r="A53" s="62" t="s">
        <v>131</v>
      </c>
      <c r="B53" s="60" t="s">
        <v>130</v>
      </c>
      <c r="D53" s="63">
        <v>80</v>
      </c>
    </row>
    <row r="54" customHeight="1" spans="1:4">
      <c r="A54" s="62" t="s">
        <v>132</v>
      </c>
      <c r="B54" s="60" t="s">
        <v>130</v>
      </c>
      <c r="D54" s="63">
        <v>80</v>
      </c>
    </row>
    <row r="55" customHeight="1" spans="1:4">
      <c r="A55" s="62" t="s">
        <v>133</v>
      </c>
      <c r="B55" s="60" t="s">
        <v>130</v>
      </c>
      <c r="D55" s="63">
        <v>80</v>
      </c>
    </row>
    <row r="56" customHeight="1" spans="1:4">
      <c r="A56" s="62" t="s">
        <v>134</v>
      </c>
      <c r="B56" s="60" t="s">
        <v>135</v>
      </c>
      <c r="D56" s="63">
        <v>100</v>
      </c>
    </row>
    <row r="57" customHeight="1" spans="1:4">
      <c r="A57" s="62" t="s">
        <v>136</v>
      </c>
      <c r="B57" s="60" t="s">
        <v>135</v>
      </c>
      <c r="D57" s="63">
        <v>100</v>
      </c>
    </row>
    <row r="58" customHeight="1" spans="1:4">
      <c r="A58" s="62" t="s">
        <v>137</v>
      </c>
      <c r="B58" s="60" t="s">
        <v>135</v>
      </c>
      <c r="D58" s="63">
        <v>100</v>
      </c>
    </row>
    <row r="59" customHeight="1" spans="1:4">
      <c r="A59" s="62" t="s">
        <v>138</v>
      </c>
      <c r="D59" s="63">
        <f>D60</f>
        <v>10</v>
      </c>
    </row>
    <row r="60" customHeight="1" spans="1:4">
      <c r="A60" s="62" t="s">
        <v>139</v>
      </c>
      <c r="D60" s="63">
        <v>10</v>
      </c>
    </row>
    <row r="61" customHeight="1" spans="1:4">
      <c r="A61" s="62" t="s">
        <v>140</v>
      </c>
      <c r="B61" s="60" t="s">
        <v>130</v>
      </c>
      <c r="D61" s="63">
        <v>80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102"/>
  <sheetViews>
    <sheetView showGridLines="0" workbookViewId="0">
      <selection activeCell="B7" sqref="B7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5.625" style="2" customWidth="1"/>
    <col min="4" max="4" width="11.5" style="2" customWidth="1"/>
    <col min="5" max="5" width="17.125" style="2" customWidth="1"/>
    <col min="6" max="6" width="6.375" customWidth="1"/>
    <col min="7" max="7" width="12.625" style="2" customWidth="1"/>
    <col min="8" max="8" width="6.375" customWidth="1"/>
    <col min="9" max="9" width="11.5" style="2" customWidth="1"/>
    <col min="10" max="10" width="6.375" customWidth="1"/>
    <col min="11" max="11" width="19.375" style="2" customWidth="1"/>
    <col min="12" max="12" width="6.375" customWidth="1"/>
    <col min="13" max="13" width="17.125" style="2" customWidth="1"/>
    <col min="14" max="14" width="6.375" customWidth="1"/>
    <col min="15" max="15" width="8.375" style="2" customWidth="1"/>
    <col min="16" max="16" width="6.375" customWidth="1"/>
    <col min="17" max="17" width="12.625" style="2" customWidth="1"/>
    <col min="18" max="18" width="6.375" customWidth="1"/>
    <col min="19" max="19" width="9.375" style="2" customWidth="1"/>
    <col min="20" max="20" width="7.375" customWidth="1"/>
    <col min="21" max="21" width="14.875" style="2" customWidth="1"/>
    <col min="22" max="22" width="7.375" customWidth="1"/>
    <col min="23" max="23" width="14.875" style="2" customWidth="1"/>
    <col min="24" max="24" width="7.375" customWidth="1"/>
    <col min="25" max="25" width="14.875" style="2" customWidth="1"/>
    <col min="26" max="26" width="7.375" customWidth="1"/>
    <col min="27" max="27" width="12.625" style="2" customWidth="1"/>
    <col min="28" max="28" width="7.375" customWidth="1"/>
    <col min="29" max="29" width="13.75" style="2" customWidth="1"/>
    <col min="30" max="30" width="7.375" customWidth="1"/>
    <col min="31" max="31" width="5.375" style="2" customWidth="1"/>
    <col min="32" max="32" width="7.375" customWidth="1"/>
  </cols>
  <sheetData>
    <row r="1" ht="39" customHeight="1" spans="1:31">
      <c r="A1" s="26" t="s">
        <v>141</v>
      </c>
      <c r="C1" s="4" t="s">
        <v>44</v>
      </c>
      <c r="D1" s="5" t="s">
        <v>44</v>
      </c>
      <c r="E1" s="6" t="s">
        <v>44</v>
      </c>
      <c r="G1"/>
      <c r="I1"/>
      <c r="K1"/>
      <c r="M1"/>
      <c r="O1"/>
      <c r="Q1"/>
      <c r="S1"/>
      <c r="U1"/>
      <c r="W1"/>
      <c r="Y1"/>
      <c r="AA1"/>
      <c r="AC1"/>
      <c r="AE1"/>
    </row>
    <row r="2" s="40" customFormat="1" ht="34.05" customHeight="1" spans="1:32">
      <c r="A2" s="37" t="s">
        <v>45</v>
      </c>
      <c r="B2" s="35" t="s">
        <v>142</v>
      </c>
      <c r="C2" s="36" t="s">
        <v>143</v>
      </c>
      <c r="D2" s="37" t="s">
        <v>144</v>
      </c>
      <c r="E2" s="37" t="s">
        <v>19</v>
      </c>
      <c r="F2" s="37" t="s">
        <v>20</v>
      </c>
      <c r="G2" s="37" t="s">
        <v>19</v>
      </c>
      <c r="H2" s="37" t="s">
        <v>20</v>
      </c>
      <c r="I2" s="37" t="s">
        <v>19</v>
      </c>
      <c r="J2" s="37" t="s">
        <v>20</v>
      </c>
      <c r="K2" s="37" t="s">
        <v>19</v>
      </c>
      <c r="L2" s="37" t="s">
        <v>20</v>
      </c>
      <c r="M2" s="37" t="s">
        <v>19</v>
      </c>
      <c r="N2" s="37" t="s">
        <v>20</v>
      </c>
      <c r="O2" s="37" t="s">
        <v>19</v>
      </c>
      <c r="P2" s="37" t="s">
        <v>20</v>
      </c>
      <c r="Q2" s="37" t="s">
        <v>19</v>
      </c>
      <c r="R2" s="37" t="s">
        <v>20</v>
      </c>
      <c r="S2" s="37" t="s">
        <v>19</v>
      </c>
      <c r="T2" s="37" t="s">
        <v>20</v>
      </c>
      <c r="U2" s="37" t="s">
        <v>19</v>
      </c>
      <c r="V2" s="37" t="s">
        <v>20</v>
      </c>
      <c r="W2" s="37" t="s">
        <v>19</v>
      </c>
      <c r="X2" s="37" t="s">
        <v>20</v>
      </c>
      <c r="Y2" s="37" t="s">
        <v>19</v>
      </c>
      <c r="Z2" s="37" t="s">
        <v>20</v>
      </c>
      <c r="AA2" s="37" t="s">
        <v>19</v>
      </c>
      <c r="AB2" s="37" t="s">
        <v>20</v>
      </c>
      <c r="AC2" s="37" t="s">
        <v>19</v>
      </c>
      <c r="AD2" s="37" t="s">
        <v>20</v>
      </c>
      <c r="AE2" s="37" t="s">
        <v>19</v>
      </c>
      <c r="AF2" s="37" t="s">
        <v>20</v>
      </c>
    </row>
    <row r="3" s="40" customFormat="1" customHeight="1" spans="1:32">
      <c r="A3" s="37" t="s">
        <v>145</v>
      </c>
      <c r="B3" s="37" t="s">
        <v>146</v>
      </c>
      <c r="C3" s="39" t="s">
        <v>147</v>
      </c>
      <c r="D3" s="37"/>
      <c r="E3" s="37" t="s">
        <v>148</v>
      </c>
      <c r="F3" s="37"/>
      <c r="G3" s="37" t="s">
        <v>149</v>
      </c>
      <c r="H3" s="37"/>
      <c r="I3" s="37" t="s">
        <v>150</v>
      </c>
      <c r="J3" s="37"/>
      <c r="K3" s="37" t="s">
        <v>151</v>
      </c>
      <c r="L3" s="37"/>
      <c r="M3" s="37" t="s">
        <v>152</v>
      </c>
      <c r="N3" s="37"/>
      <c r="O3" s="37" t="s">
        <v>153</v>
      </c>
      <c r="P3" s="37"/>
      <c r="Q3" s="37" t="s">
        <v>98</v>
      </c>
      <c r="R3" s="37"/>
      <c r="S3" s="37" t="s">
        <v>94</v>
      </c>
      <c r="T3" s="37"/>
      <c r="U3" s="37" t="s">
        <v>154</v>
      </c>
      <c r="V3" s="37"/>
      <c r="W3" s="37" t="s">
        <v>155</v>
      </c>
      <c r="X3" s="37"/>
      <c r="Y3" s="37" t="s">
        <v>156</v>
      </c>
      <c r="Z3" s="37"/>
      <c r="AA3" s="37" t="s">
        <v>157</v>
      </c>
      <c r="AB3" s="37"/>
      <c r="AC3" s="37" t="s">
        <v>158</v>
      </c>
      <c r="AD3" s="37"/>
      <c r="AE3" s="59" t="s">
        <v>159</v>
      </c>
      <c r="AF3" s="37"/>
    </row>
    <row r="4" customHeight="1" spans="1:32">
      <c r="A4" s="41" t="s">
        <v>160</v>
      </c>
      <c r="B4" s="41">
        <v>0.03</v>
      </c>
      <c r="C4" s="41">
        <f>SUM(F4:AF4)</f>
        <v>151</v>
      </c>
      <c r="D4" s="42"/>
      <c r="E4" s="42" t="s">
        <v>161</v>
      </c>
      <c r="F4" s="42">
        <v>23</v>
      </c>
      <c r="G4" s="42"/>
      <c r="H4" s="42"/>
      <c r="I4" s="42" t="s">
        <v>162</v>
      </c>
      <c r="J4" s="42">
        <v>90</v>
      </c>
      <c r="K4" s="42"/>
      <c r="L4" s="42"/>
      <c r="M4" s="42"/>
      <c r="N4" s="42"/>
      <c r="O4" s="42" t="s">
        <v>163</v>
      </c>
      <c r="P4" s="42">
        <v>15</v>
      </c>
      <c r="Q4" s="42" t="s">
        <v>164</v>
      </c>
      <c r="R4" s="42">
        <v>23</v>
      </c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</row>
    <row r="5" customHeight="1" spans="1:32">
      <c r="A5" s="41" t="s">
        <v>165</v>
      </c>
      <c r="B5" s="41">
        <v>0.04</v>
      </c>
      <c r="C5" s="41">
        <f>SUM(F5:AF5)</f>
        <v>165</v>
      </c>
      <c r="D5" s="42"/>
      <c r="E5" s="42" t="s">
        <v>161</v>
      </c>
      <c r="F5" s="42">
        <v>26</v>
      </c>
      <c r="G5" s="42"/>
      <c r="H5" s="42"/>
      <c r="I5" s="42" t="s">
        <v>162</v>
      </c>
      <c r="J5" s="42">
        <v>99</v>
      </c>
      <c r="K5" s="42"/>
      <c r="L5" s="42"/>
      <c r="M5" s="42"/>
      <c r="N5" s="42"/>
      <c r="O5" s="42" t="s">
        <v>163</v>
      </c>
      <c r="P5" s="42">
        <v>17</v>
      </c>
      <c r="Q5" s="42" t="s">
        <v>164</v>
      </c>
      <c r="R5" s="42">
        <v>23</v>
      </c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</row>
    <row r="6" customHeight="1" spans="1:32">
      <c r="A6" s="41" t="s">
        <v>166</v>
      </c>
      <c r="B6" s="41">
        <v>0.05</v>
      </c>
      <c r="C6" s="41">
        <f t="shared" ref="C6:C36" si="0">SUM(F6:AF6)</f>
        <v>182</v>
      </c>
      <c r="D6" s="42"/>
      <c r="E6" s="42" t="s">
        <v>161</v>
      </c>
      <c r="F6" s="42">
        <v>33</v>
      </c>
      <c r="G6" s="42"/>
      <c r="H6" s="42"/>
      <c r="I6" s="42" t="s">
        <v>162</v>
      </c>
      <c r="J6" s="42">
        <v>108</v>
      </c>
      <c r="K6" s="42"/>
      <c r="L6" s="42"/>
      <c r="M6" s="42"/>
      <c r="N6" s="42"/>
      <c r="O6" s="42" t="s">
        <v>163</v>
      </c>
      <c r="P6" s="42">
        <v>18</v>
      </c>
      <c r="Q6" s="42" t="s">
        <v>164</v>
      </c>
      <c r="R6" s="42">
        <v>23</v>
      </c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</row>
    <row r="7" customHeight="1" spans="1:32">
      <c r="A7" s="41" t="s">
        <v>167</v>
      </c>
      <c r="B7" s="41">
        <v>0.1</v>
      </c>
      <c r="C7" s="41">
        <f t="shared" si="0"/>
        <v>200</v>
      </c>
      <c r="D7" s="42"/>
      <c r="E7" s="42" t="s">
        <v>161</v>
      </c>
      <c r="F7" s="42">
        <v>36</v>
      </c>
      <c r="G7" s="42"/>
      <c r="H7" s="42"/>
      <c r="I7" s="42" t="s">
        <v>162</v>
      </c>
      <c r="J7" s="42">
        <v>121</v>
      </c>
      <c r="K7" s="42"/>
      <c r="L7" s="42"/>
      <c r="M7" s="42"/>
      <c r="N7" s="42"/>
      <c r="O7" s="42" t="s">
        <v>163</v>
      </c>
      <c r="P7" s="42">
        <v>20</v>
      </c>
      <c r="Q7" s="42" t="s">
        <v>164</v>
      </c>
      <c r="R7" s="42">
        <v>23</v>
      </c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</row>
    <row r="8" customHeight="1" spans="1:32">
      <c r="A8" s="43" t="s">
        <v>168</v>
      </c>
      <c r="B8" s="43">
        <v>0.15</v>
      </c>
      <c r="C8" s="43">
        <f t="shared" si="0"/>
        <v>221</v>
      </c>
      <c r="D8" s="44"/>
      <c r="E8" s="44" t="s">
        <v>161</v>
      </c>
      <c r="F8" s="44">
        <v>38</v>
      </c>
      <c r="G8" s="44" t="s">
        <v>169</v>
      </c>
      <c r="H8" s="44">
        <v>13</v>
      </c>
      <c r="I8" s="44" t="s">
        <v>162</v>
      </c>
      <c r="J8" s="44">
        <v>126</v>
      </c>
      <c r="K8" s="44"/>
      <c r="L8" s="44"/>
      <c r="M8" s="44"/>
      <c r="N8" s="44"/>
      <c r="O8" s="44" t="s">
        <v>163</v>
      </c>
      <c r="P8" s="44">
        <v>21</v>
      </c>
      <c r="Q8" s="44" t="s">
        <v>164</v>
      </c>
      <c r="R8" s="44">
        <v>23</v>
      </c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</row>
    <row r="9" customHeight="1" spans="1:32">
      <c r="A9" s="43" t="s">
        <v>170</v>
      </c>
      <c r="B9" s="43">
        <v>0.25</v>
      </c>
      <c r="C9" s="43">
        <f t="shared" si="0"/>
        <v>241</v>
      </c>
      <c r="D9" s="44"/>
      <c r="E9" s="44" t="s">
        <v>161</v>
      </c>
      <c r="F9" s="44">
        <v>43</v>
      </c>
      <c r="G9" s="44" t="s">
        <v>169</v>
      </c>
      <c r="H9" s="44">
        <v>19</v>
      </c>
      <c r="I9" s="44" t="s">
        <v>162</v>
      </c>
      <c r="J9" s="44">
        <v>132</v>
      </c>
      <c r="K9" s="44"/>
      <c r="L9" s="44"/>
      <c r="M9" s="44"/>
      <c r="N9" s="44"/>
      <c r="O9" s="44" t="s">
        <v>163</v>
      </c>
      <c r="P9" s="44">
        <v>24</v>
      </c>
      <c r="Q9" s="44" t="s">
        <v>164</v>
      </c>
      <c r="R9" s="44">
        <v>23</v>
      </c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customHeight="1" spans="1:32">
      <c r="A10" s="43" t="s">
        <v>171</v>
      </c>
      <c r="B10" s="43">
        <v>0.35</v>
      </c>
      <c r="C10" s="43">
        <f t="shared" si="0"/>
        <v>263</v>
      </c>
      <c r="D10" s="44"/>
      <c r="E10" s="44" t="s">
        <v>161</v>
      </c>
      <c r="F10" s="44">
        <v>43</v>
      </c>
      <c r="G10" s="44" t="s">
        <v>169</v>
      </c>
      <c r="H10" s="44">
        <v>27</v>
      </c>
      <c r="I10" s="44" t="s">
        <v>162</v>
      </c>
      <c r="J10" s="44">
        <v>143</v>
      </c>
      <c r="K10" s="44"/>
      <c r="L10" s="44"/>
      <c r="M10" s="44"/>
      <c r="N10" s="44"/>
      <c r="O10" s="44" t="s">
        <v>163</v>
      </c>
      <c r="P10" s="44">
        <v>27</v>
      </c>
      <c r="Q10" s="44" t="s">
        <v>164</v>
      </c>
      <c r="R10" s="44">
        <v>23</v>
      </c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</row>
    <row r="11" customHeight="1" spans="1:32">
      <c r="A11" s="43" t="s">
        <v>172</v>
      </c>
      <c r="B11" s="43">
        <v>0.45</v>
      </c>
      <c r="C11" s="43">
        <f t="shared" si="0"/>
        <v>288</v>
      </c>
      <c r="D11" s="44"/>
      <c r="E11" s="44" t="s">
        <v>161</v>
      </c>
      <c r="F11" s="44">
        <v>43</v>
      </c>
      <c r="G11" s="44" t="s">
        <v>169</v>
      </c>
      <c r="H11" s="44">
        <v>41</v>
      </c>
      <c r="I11" s="44" t="s">
        <v>162</v>
      </c>
      <c r="J11" s="44">
        <v>150</v>
      </c>
      <c r="K11" s="44"/>
      <c r="L11" s="44"/>
      <c r="M11" s="44"/>
      <c r="N11" s="44"/>
      <c r="O11" s="44" t="s">
        <v>163</v>
      </c>
      <c r="P11" s="44">
        <v>31</v>
      </c>
      <c r="Q11" s="44" t="s">
        <v>164</v>
      </c>
      <c r="R11" s="44">
        <v>23</v>
      </c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customHeight="1" spans="1:32">
      <c r="A12" s="43" t="s">
        <v>173</v>
      </c>
      <c r="B12" s="43">
        <v>0.6</v>
      </c>
      <c r="C12" s="43">
        <f t="shared" si="0"/>
        <v>305</v>
      </c>
      <c r="D12" s="44"/>
      <c r="E12" s="44" t="s">
        <v>161</v>
      </c>
      <c r="F12" s="44">
        <v>43</v>
      </c>
      <c r="G12" s="44" t="s">
        <v>169</v>
      </c>
      <c r="H12" s="44">
        <v>53</v>
      </c>
      <c r="I12" s="44" t="s">
        <v>162</v>
      </c>
      <c r="J12" s="44">
        <v>150</v>
      </c>
      <c r="K12" s="44"/>
      <c r="L12" s="44"/>
      <c r="M12" s="44"/>
      <c r="N12" s="44"/>
      <c r="O12" s="44" t="s">
        <v>163</v>
      </c>
      <c r="P12" s="44">
        <v>36</v>
      </c>
      <c r="Q12" s="44" t="s">
        <v>164</v>
      </c>
      <c r="R12" s="44">
        <v>23</v>
      </c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</row>
    <row r="13" customHeight="1" spans="1:32">
      <c r="A13" s="45" t="s">
        <v>174</v>
      </c>
      <c r="B13" s="45">
        <v>0.75</v>
      </c>
      <c r="C13" s="45">
        <f t="shared" si="0"/>
        <v>354</v>
      </c>
      <c r="D13" s="46"/>
      <c r="E13" s="46" t="s">
        <v>161</v>
      </c>
      <c r="F13" s="46">
        <v>51</v>
      </c>
      <c r="G13" s="46" t="s">
        <v>169</v>
      </c>
      <c r="H13" s="46">
        <v>45</v>
      </c>
      <c r="I13" s="46" t="s">
        <v>162</v>
      </c>
      <c r="J13" s="46">
        <v>154</v>
      </c>
      <c r="K13" s="46" t="s">
        <v>175</v>
      </c>
      <c r="L13" s="46">
        <v>10</v>
      </c>
      <c r="M13" s="46" t="s">
        <v>176</v>
      </c>
      <c r="N13" s="46">
        <v>7</v>
      </c>
      <c r="O13" s="46" t="s">
        <v>163</v>
      </c>
      <c r="P13" s="46">
        <v>29</v>
      </c>
      <c r="Q13" s="46" t="s">
        <v>164</v>
      </c>
      <c r="R13" s="46">
        <v>34</v>
      </c>
      <c r="S13" s="46" t="s">
        <v>177</v>
      </c>
      <c r="T13" s="46">
        <v>24</v>
      </c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</row>
    <row r="14" customHeight="1" spans="1:32">
      <c r="A14" s="45" t="s">
        <v>178</v>
      </c>
      <c r="B14" s="45">
        <v>0.9</v>
      </c>
      <c r="C14" s="45">
        <f t="shared" si="0"/>
        <v>389</v>
      </c>
      <c r="D14" s="46"/>
      <c r="E14" s="46" t="s">
        <v>161</v>
      </c>
      <c r="F14" s="46">
        <v>47</v>
      </c>
      <c r="G14" s="46" t="s">
        <v>169</v>
      </c>
      <c r="H14" s="46">
        <v>43</v>
      </c>
      <c r="I14" s="46" t="s">
        <v>162</v>
      </c>
      <c r="J14" s="46">
        <v>157</v>
      </c>
      <c r="K14" s="46" t="s">
        <v>175</v>
      </c>
      <c r="L14" s="46">
        <v>23</v>
      </c>
      <c r="M14" s="46" t="s">
        <v>176</v>
      </c>
      <c r="N14" s="46">
        <v>20</v>
      </c>
      <c r="O14" s="46" t="s">
        <v>163</v>
      </c>
      <c r="P14" s="46">
        <v>29</v>
      </c>
      <c r="Q14" s="46" t="s">
        <v>164</v>
      </c>
      <c r="R14" s="46">
        <v>39</v>
      </c>
      <c r="S14" s="46" t="s">
        <v>177</v>
      </c>
      <c r="T14" s="46">
        <v>31</v>
      </c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</row>
    <row r="15" customHeight="1" spans="1:32">
      <c r="A15" s="45" t="s">
        <v>179</v>
      </c>
      <c r="B15" s="45">
        <v>1.4</v>
      </c>
      <c r="C15" s="45">
        <f t="shared" si="0"/>
        <v>428</v>
      </c>
      <c r="D15" s="46"/>
      <c r="E15" s="46" t="s">
        <v>161</v>
      </c>
      <c r="F15" s="46">
        <v>37</v>
      </c>
      <c r="G15" s="46" t="s">
        <v>169</v>
      </c>
      <c r="H15" s="46">
        <v>37</v>
      </c>
      <c r="I15" s="46" t="s">
        <v>162</v>
      </c>
      <c r="J15" s="46">
        <v>164</v>
      </c>
      <c r="K15" s="46" t="s">
        <v>175</v>
      </c>
      <c r="L15" s="46">
        <v>37</v>
      </c>
      <c r="M15" s="46" t="s">
        <v>176</v>
      </c>
      <c r="N15" s="46">
        <v>37</v>
      </c>
      <c r="O15" s="46" t="s">
        <v>163</v>
      </c>
      <c r="P15" s="46">
        <v>29</v>
      </c>
      <c r="Q15" s="46" t="s">
        <v>164</v>
      </c>
      <c r="R15" s="46">
        <v>46</v>
      </c>
      <c r="S15" s="46" t="s">
        <v>177</v>
      </c>
      <c r="T15" s="46">
        <v>41</v>
      </c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</row>
    <row r="16" customHeight="1" spans="1:32">
      <c r="A16" s="45" t="s">
        <v>180</v>
      </c>
      <c r="B16" s="45">
        <v>1.9</v>
      </c>
      <c r="C16" s="45">
        <f t="shared" si="0"/>
        <v>468</v>
      </c>
      <c r="D16" s="46"/>
      <c r="E16" s="46" t="s">
        <v>161</v>
      </c>
      <c r="F16" s="46">
        <v>20</v>
      </c>
      <c r="G16" s="46" t="s">
        <v>169</v>
      </c>
      <c r="H16" s="46">
        <v>20</v>
      </c>
      <c r="I16" s="46" t="s">
        <v>162</v>
      </c>
      <c r="J16" s="46">
        <v>173</v>
      </c>
      <c r="K16" s="46" t="s">
        <v>175</v>
      </c>
      <c r="L16" s="46">
        <v>69</v>
      </c>
      <c r="M16" s="46" t="s">
        <v>176</v>
      </c>
      <c r="N16" s="46">
        <v>59</v>
      </c>
      <c r="O16" s="46" t="s">
        <v>163</v>
      </c>
      <c r="P16" s="46">
        <v>29</v>
      </c>
      <c r="Q16" s="46" t="s">
        <v>164</v>
      </c>
      <c r="R16" s="46">
        <v>49</v>
      </c>
      <c r="S16" s="46" t="s">
        <v>177</v>
      </c>
      <c r="T16" s="46">
        <v>49</v>
      </c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</row>
    <row r="17" customHeight="1" spans="1:32">
      <c r="A17" s="45" t="s">
        <v>181</v>
      </c>
      <c r="B17" s="45">
        <v>2.4</v>
      </c>
      <c r="C17" s="45">
        <f t="shared" si="0"/>
        <v>516</v>
      </c>
      <c r="D17" s="46"/>
      <c r="E17" s="46" t="s">
        <v>161</v>
      </c>
      <c r="F17" s="46">
        <v>11</v>
      </c>
      <c r="G17" s="46" t="s">
        <v>169</v>
      </c>
      <c r="H17" s="46">
        <v>11</v>
      </c>
      <c r="I17" s="46" t="s">
        <v>162</v>
      </c>
      <c r="J17" s="46">
        <v>183</v>
      </c>
      <c r="K17" s="46" t="s">
        <v>175</v>
      </c>
      <c r="L17" s="46">
        <v>89</v>
      </c>
      <c r="M17" s="46" t="s">
        <v>176</v>
      </c>
      <c r="N17" s="46">
        <v>77</v>
      </c>
      <c r="O17" s="46" t="s">
        <v>163</v>
      </c>
      <c r="P17" s="46">
        <v>29</v>
      </c>
      <c r="Q17" s="46" t="s">
        <v>164</v>
      </c>
      <c r="R17" s="46">
        <v>55</v>
      </c>
      <c r="S17" s="46" t="s">
        <v>177</v>
      </c>
      <c r="T17" s="46">
        <v>61</v>
      </c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</row>
    <row r="18" customHeight="1" spans="1:32">
      <c r="A18" s="47" t="s">
        <v>182</v>
      </c>
      <c r="B18" s="47">
        <v>4.6</v>
      </c>
      <c r="C18" s="47">
        <f t="shared" si="0"/>
        <v>574</v>
      </c>
      <c r="D18" s="48"/>
      <c r="E18" s="48"/>
      <c r="F18" s="48"/>
      <c r="G18" s="48"/>
      <c r="H18" s="48"/>
      <c r="I18" s="48" t="s">
        <v>162</v>
      </c>
      <c r="J18" s="48">
        <v>182</v>
      </c>
      <c r="K18" s="48" t="s">
        <v>175</v>
      </c>
      <c r="L18" s="48">
        <v>106</v>
      </c>
      <c r="M18" s="48" t="s">
        <v>176</v>
      </c>
      <c r="N18" s="48">
        <v>89</v>
      </c>
      <c r="O18" s="48" t="s">
        <v>163</v>
      </c>
      <c r="P18" s="48">
        <v>29</v>
      </c>
      <c r="Q18" s="48" t="s">
        <v>164</v>
      </c>
      <c r="R18" s="48">
        <v>56</v>
      </c>
      <c r="S18" s="48" t="s">
        <v>177</v>
      </c>
      <c r="T18" s="48">
        <v>67</v>
      </c>
      <c r="U18" s="48" t="s">
        <v>183</v>
      </c>
      <c r="V18" s="48">
        <v>17</v>
      </c>
      <c r="W18" s="48" t="s">
        <v>184</v>
      </c>
      <c r="X18" s="48">
        <v>17</v>
      </c>
      <c r="Y18" s="48"/>
      <c r="Z18" s="48"/>
      <c r="AA18" s="48"/>
      <c r="AB18" s="48"/>
      <c r="AC18" s="48" t="s">
        <v>185</v>
      </c>
      <c r="AD18" s="48">
        <v>11</v>
      </c>
      <c r="AE18" s="48"/>
      <c r="AF18" s="48"/>
    </row>
    <row r="19" customHeight="1" spans="1:32">
      <c r="A19" s="47" t="s">
        <v>186</v>
      </c>
      <c r="B19" s="47">
        <v>6.8</v>
      </c>
      <c r="C19" s="47">
        <f t="shared" si="0"/>
        <v>629</v>
      </c>
      <c r="D19" s="48"/>
      <c r="E19" s="48"/>
      <c r="F19" s="48"/>
      <c r="G19" s="48"/>
      <c r="H19" s="48"/>
      <c r="I19" s="48" t="s">
        <v>162</v>
      </c>
      <c r="J19" s="48">
        <v>182</v>
      </c>
      <c r="K19" s="48" t="s">
        <v>175</v>
      </c>
      <c r="L19" s="48">
        <v>110</v>
      </c>
      <c r="M19" s="48" t="s">
        <v>176</v>
      </c>
      <c r="N19" s="48">
        <v>98</v>
      </c>
      <c r="O19" s="48" t="s">
        <v>163</v>
      </c>
      <c r="P19" s="48">
        <v>29</v>
      </c>
      <c r="Q19" s="48" t="s">
        <v>164</v>
      </c>
      <c r="R19" s="48">
        <v>61</v>
      </c>
      <c r="S19" s="48" t="s">
        <v>177</v>
      </c>
      <c r="T19" s="48">
        <v>77</v>
      </c>
      <c r="U19" s="48" t="s">
        <v>183</v>
      </c>
      <c r="V19" s="48">
        <v>24</v>
      </c>
      <c r="W19" s="48" t="s">
        <v>184</v>
      </c>
      <c r="X19" s="48">
        <v>24</v>
      </c>
      <c r="Y19" s="48"/>
      <c r="Z19" s="48"/>
      <c r="AA19" s="48"/>
      <c r="AB19" s="48"/>
      <c r="AC19" s="48" t="s">
        <v>185</v>
      </c>
      <c r="AD19" s="48">
        <v>24</v>
      </c>
      <c r="AE19" s="48"/>
      <c r="AF19" s="48"/>
    </row>
    <row r="20" customHeight="1" spans="1:32">
      <c r="A20" s="47" t="s">
        <v>187</v>
      </c>
      <c r="B20" s="47">
        <v>9</v>
      </c>
      <c r="C20" s="47">
        <f t="shared" si="0"/>
        <v>694</v>
      </c>
      <c r="D20" s="48"/>
      <c r="E20" s="48"/>
      <c r="F20" s="48"/>
      <c r="G20" s="48"/>
      <c r="H20" s="48"/>
      <c r="I20" s="48" t="s">
        <v>162</v>
      </c>
      <c r="J20" s="48">
        <v>182</v>
      </c>
      <c r="K20" s="48" t="s">
        <v>175</v>
      </c>
      <c r="L20" s="48">
        <v>114</v>
      </c>
      <c r="M20" s="48" t="s">
        <v>176</v>
      </c>
      <c r="N20" s="48">
        <v>107</v>
      </c>
      <c r="O20" s="48" t="s">
        <v>163</v>
      </c>
      <c r="P20" s="48">
        <v>29</v>
      </c>
      <c r="Q20" s="48" t="s">
        <v>164</v>
      </c>
      <c r="R20" s="48">
        <v>67</v>
      </c>
      <c r="S20" s="48" t="s">
        <v>177</v>
      </c>
      <c r="T20" s="48">
        <v>88</v>
      </c>
      <c r="U20" s="48" t="s">
        <v>183</v>
      </c>
      <c r="V20" s="48">
        <v>40</v>
      </c>
      <c r="W20" s="48" t="s">
        <v>184</v>
      </c>
      <c r="X20" s="48">
        <v>27</v>
      </c>
      <c r="Y20" s="48"/>
      <c r="Z20" s="48"/>
      <c r="AA20" s="48"/>
      <c r="AB20" s="48"/>
      <c r="AC20" s="48" t="s">
        <v>185</v>
      </c>
      <c r="AD20" s="48">
        <v>40</v>
      </c>
      <c r="AE20" s="48"/>
      <c r="AF20" s="48"/>
    </row>
    <row r="21" customHeight="1" spans="1:32">
      <c r="A21" s="47" t="s">
        <v>188</v>
      </c>
      <c r="B21" s="47">
        <v>12</v>
      </c>
      <c r="C21" s="47">
        <f t="shared" si="0"/>
        <v>764</v>
      </c>
      <c r="D21" s="48"/>
      <c r="E21" s="48"/>
      <c r="F21" s="48"/>
      <c r="G21" s="48"/>
      <c r="H21" s="48"/>
      <c r="I21" s="48" t="s">
        <v>162</v>
      </c>
      <c r="J21" s="48">
        <v>182</v>
      </c>
      <c r="K21" s="48" t="s">
        <v>175</v>
      </c>
      <c r="L21" s="48">
        <v>117</v>
      </c>
      <c r="M21" s="48" t="s">
        <v>176</v>
      </c>
      <c r="N21" s="48">
        <v>117</v>
      </c>
      <c r="O21" s="48" t="s">
        <v>163</v>
      </c>
      <c r="P21" s="48">
        <v>29</v>
      </c>
      <c r="Q21" s="48" t="s">
        <v>164</v>
      </c>
      <c r="R21" s="48">
        <v>73</v>
      </c>
      <c r="S21" s="48" t="s">
        <v>177</v>
      </c>
      <c r="T21" s="48">
        <v>99</v>
      </c>
      <c r="U21" s="48" t="s">
        <v>183</v>
      </c>
      <c r="V21" s="48">
        <v>59</v>
      </c>
      <c r="W21" s="48" t="s">
        <v>184</v>
      </c>
      <c r="X21" s="48">
        <v>29</v>
      </c>
      <c r="Y21" s="48"/>
      <c r="Z21" s="48"/>
      <c r="AA21" s="48"/>
      <c r="AB21" s="48"/>
      <c r="AC21" s="48" t="s">
        <v>185</v>
      </c>
      <c r="AD21" s="48">
        <v>59</v>
      </c>
      <c r="AE21" s="48"/>
      <c r="AF21" s="48"/>
    </row>
    <row r="22" customHeight="1" spans="1:32">
      <c r="A22" s="47" t="s">
        <v>189</v>
      </c>
      <c r="B22" s="47">
        <v>15</v>
      </c>
      <c r="C22" s="47">
        <f t="shared" si="0"/>
        <v>845</v>
      </c>
      <c r="D22" s="48"/>
      <c r="E22" s="48"/>
      <c r="F22" s="48"/>
      <c r="G22" s="48"/>
      <c r="H22" s="48"/>
      <c r="I22" s="48" t="s">
        <v>162</v>
      </c>
      <c r="J22" s="48">
        <v>182</v>
      </c>
      <c r="K22" s="48" t="s">
        <v>175</v>
      </c>
      <c r="L22" s="48">
        <v>119</v>
      </c>
      <c r="M22" s="48" t="s">
        <v>176</v>
      </c>
      <c r="N22" s="48">
        <v>127</v>
      </c>
      <c r="O22" s="48" t="s">
        <v>163</v>
      </c>
      <c r="P22" s="48">
        <v>29</v>
      </c>
      <c r="Q22" s="48" t="s">
        <v>164</v>
      </c>
      <c r="R22" s="48">
        <v>79</v>
      </c>
      <c r="S22" s="48" t="s">
        <v>177</v>
      </c>
      <c r="T22" s="48">
        <v>111</v>
      </c>
      <c r="U22" s="48" t="s">
        <v>183</v>
      </c>
      <c r="V22" s="48">
        <v>79</v>
      </c>
      <c r="W22" s="48" t="s">
        <v>184</v>
      </c>
      <c r="X22" s="48">
        <v>40</v>
      </c>
      <c r="Y22" s="48"/>
      <c r="Z22" s="48"/>
      <c r="AA22" s="48"/>
      <c r="AB22" s="48"/>
      <c r="AC22" s="48" t="s">
        <v>185</v>
      </c>
      <c r="AD22" s="48">
        <v>79</v>
      </c>
      <c r="AE22" s="48"/>
      <c r="AF22" s="48"/>
    </row>
    <row r="23" customHeight="1" spans="1:32">
      <c r="A23" s="49" t="s">
        <v>190</v>
      </c>
      <c r="B23" s="49">
        <v>18</v>
      </c>
      <c r="C23" s="49">
        <f t="shared" si="0"/>
        <v>934</v>
      </c>
      <c r="D23" s="50"/>
      <c r="E23" s="50"/>
      <c r="F23" s="50"/>
      <c r="G23" s="50"/>
      <c r="H23" s="50"/>
      <c r="I23" s="50" t="s">
        <v>162</v>
      </c>
      <c r="J23" s="50">
        <v>182</v>
      </c>
      <c r="K23" s="50" t="s">
        <v>175</v>
      </c>
      <c r="L23" s="50">
        <v>127</v>
      </c>
      <c r="M23" s="50" t="s">
        <v>176</v>
      </c>
      <c r="N23" s="50">
        <v>135</v>
      </c>
      <c r="O23" s="50" t="s">
        <v>163</v>
      </c>
      <c r="P23" s="50">
        <v>29</v>
      </c>
      <c r="Q23" s="50" t="s">
        <v>164</v>
      </c>
      <c r="R23" s="50">
        <v>85</v>
      </c>
      <c r="S23" s="50" t="s">
        <v>177</v>
      </c>
      <c r="T23" s="50">
        <v>122</v>
      </c>
      <c r="U23" s="50" t="s">
        <v>183</v>
      </c>
      <c r="V23" s="50">
        <v>85</v>
      </c>
      <c r="W23" s="50" t="s">
        <v>184</v>
      </c>
      <c r="X23" s="50">
        <v>42</v>
      </c>
      <c r="Y23" s="50" t="s">
        <v>191</v>
      </c>
      <c r="Z23" s="50">
        <v>17</v>
      </c>
      <c r="AA23" s="50" t="s">
        <v>192</v>
      </c>
      <c r="AB23" s="50">
        <v>8</v>
      </c>
      <c r="AC23" s="50" t="s">
        <v>185</v>
      </c>
      <c r="AD23" s="50">
        <v>102</v>
      </c>
      <c r="AE23" s="50"/>
      <c r="AF23" s="50"/>
    </row>
    <row r="24" customHeight="1" spans="1:32">
      <c r="A24" s="49" t="s">
        <v>193</v>
      </c>
      <c r="B24" s="49">
        <v>23</v>
      </c>
      <c r="C24" s="49">
        <f t="shared" si="0"/>
        <v>1025</v>
      </c>
      <c r="D24" s="50"/>
      <c r="E24" s="50"/>
      <c r="F24" s="50"/>
      <c r="G24" s="50"/>
      <c r="H24" s="50"/>
      <c r="I24" s="50" t="s">
        <v>162</v>
      </c>
      <c r="J24" s="50">
        <v>182</v>
      </c>
      <c r="K24" s="50" t="s">
        <v>175</v>
      </c>
      <c r="L24" s="50">
        <v>140</v>
      </c>
      <c r="M24" s="50" t="s">
        <v>176</v>
      </c>
      <c r="N24" s="50">
        <v>131</v>
      </c>
      <c r="O24" s="50" t="s">
        <v>163</v>
      </c>
      <c r="P24" s="50">
        <v>29</v>
      </c>
      <c r="Q24" s="50" t="s">
        <v>164</v>
      </c>
      <c r="R24" s="50">
        <v>94</v>
      </c>
      <c r="S24" s="50" t="s">
        <v>177</v>
      </c>
      <c r="T24" s="50">
        <v>139</v>
      </c>
      <c r="U24" s="50" t="s">
        <v>183</v>
      </c>
      <c r="V24" s="50">
        <v>94</v>
      </c>
      <c r="W24" s="50" t="s">
        <v>184</v>
      </c>
      <c r="X24" s="50">
        <v>47</v>
      </c>
      <c r="Y24" s="50" t="s">
        <v>191</v>
      </c>
      <c r="Z24" s="50">
        <v>19</v>
      </c>
      <c r="AA24" s="50" t="s">
        <v>192</v>
      </c>
      <c r="AB24" s="50">
        <v>19</v>
      </c>
      <c r="AC24" s="50" t="s">
        <v>185</v>
      </c>
      <c r="AD24" s="50">
        <v>131</v>
      </c>
      <c r="AE24" s="50"/>
      <c r="AF24" s="50"/>
    </row>
    <row r="25" customHeight="1" spans="1:32">
      <c r="A25" s="49" t="s">
        <v>194</v>
      </c>
      <c r="B25" s="49">
        <v>28</v>
      </c>
      <c r="C25" s="49">
        <f t="shared" si="0"/>
        <v>1123</v>
      </c>
      <c r="D25" s="50"/>
      <c r="E25" s="50"/>
      <c r="F25" s="50"/>
      <c r="G25" s="50"/>
      <c r="H25" s="50"/>
      <c r="I25" s="50" t="s">
        <v>162</v>
      </c>
      <c r="J25" s="50">
        <v>182</v>
      </c>
      <c r="K25" s="50" t="s">
        <v>175</v>
      </c>
      <c r="L25" s="50">
        <v>145</v>
      </c>
      <c r="M25" s="50" t="s">
        <v>176</v>
      </c>
      <c r="N25" s="50">
        <v>134</v>
      </c>
      <c r="O25" s="50" t="s">
        <v>163</v>
      </c>
      <c r="P25" s="50">
        <v>29</v>
      </c>
      <c r="Q25" s="50" t="s">
        <v>164</v>
      </c>
      <c r="R25" s="50">
        <v>103</v>
      </c>
      <c r="S25" s="50" t="s">
        <v>177</v>
      </c>
      <c r="T25" s="50">
        <v>158</v>
      </c>
      <c r="U25" s="50" t="s">
        <v>183</v>
      </c>
      <c r="V25" s="50">
        <v>103</v>
      </c>
      <c r="W25" s="50" t="s">
        <v>184</v>
      </c>
      <c r="X25" s="50">
        <v>52</v>
      </c>
      <c r="Y25" s="50" t="s">
        <v>191</v>
      </c>
      <c r="Z25" s="50">
        <v>21</v>
      </c>
      <c r="AA25" s="50" t="s">
        <v>192</v>
      </c>
      <c r="AB25" s="50">
        <v>31</v>
      </c>
      <c r="AC25" s="50" t="s">
        <v>185</v>
      </c>
      <c r="AD25" s="50">
        <v>165</v>
      </c>
      <c r="AE25" s="50"/>
      <c r="AF25" s="50"/>
    </row>
    <row r="26" customHeight="1" spans="1:32">
      <c r="A26" s="49" t="s">
        <v>195</v>
      </c>
      <c r="B26" s="49">
        <v>33</v>
      </c>
      <c r="C26" s="49">
        <f t="shared" si="0"/>
        <v>1236</v>
      </c>
      <c r="D26" s="50"/>
      <c r="E26" s="50"/>
      <c r="F26" s="50"/>
      <c r="G26" s="50"/>
      <c r="H26" s="50"/>
      <c r="I26" s="50" t="s">
        <v>162</v>
      </c>
      <c r="J26" s="50">
        <v>182</v>
      </c>
      <c r="K26" s="50" t="s">
        <v>175</v>
      </c>
      <c r="L26" s="50">
        <v>147</v>
      </c>
      <c r="M26" s="50" t="s">
        <v>176</v>
      </c>
      <c r="N26" s="50">
        <v>136</v>
      </c>
      <c r="O26" s="50" t="s">
        <v>163</v>
      </c>
      <c r="P26" s="50">
        <v>29</v>
      </c>
      <c r="Q26" s="50" t="s">
        <v>164</v>
      </c>
      <c r="R26" s="50">
        <v>113</v>
      </c>
      <c r="S26" s="50" t="s">
        <v>177</v>
      </c>
      <c r="T26" s="50">
        <v>178</v>
      </c>
      <c r="U26" s="50" t="s">
        <v>183</v>
      </c>
      <c r="V26" s="50">
        <v>124</v>
      </c>
      <c r="W26" s="50" t="s">
        <v>184</v>
      </c>
      <c r="X26" s="50">
        <v>56</v>
      </c>
      <c r="Y26" s="50" t="s">
        <v>191</v>
      </c>
      <c r="Z26" s="50">
        <v>23</v>
      </c>
      <c r="AA26" s="50" t="s">
        <v>192</v>
      </c>
      <c r="AB26" s="50">
        <v>45</v>
      </c>
      <c r="AC26" s="50" t="s">
        <v>185</v>
      </c>
      <c r="AD26" s="50">
        <v>203</v>
      </c>
      <c r="AE26" s="50"/>
      <c r="AF26" s="50"/>
    </row>
    <row r="27" customHeight="1" spans="1:32">
      <c r="A27" s="49" t="s">
        <v>196</v>
      </c>
      <c r="B27" s="49">
        <v>40</v>
      </c>
      <c r="C27" s="49">
        <f t="shared" si="0"/>
        <v>1360</v>
      </c>
      <c r="D27" s="50"/>
      <c r="E27" s="50"/>
      <c r="F27" s="50"/>
      <c r="G27" s="50"/>
      <c r="H27" s="50"/>
      <c r="I27" s="50" t="s">
        <v>162</v>
      </c>
      <c r="J27" s="50">
        <v>182</v>
      </c>
      <c r="K27" s="50" t="s">
        <v>175</v>
      </c>
      <c r="L27" s="50">
        <v>146</v>
      </c>
      <c r="M27" s="50" t="s">
        <v>176</v>
      </c>
      <c r="N27" s="50">
        <v>146</v>
      </c>
      <c r="O27" s="50" t="s">
        <v>163</v>
      </c>
      <c r="P27" s="50">
        <v>29</v>
      </c>
      <c r="Q27" s="50" t="s">
        <v>164</v>
      </c>
      <c r="R27" s="50">
        <v>122</v>
      </c>
      <c r="S27" s="50" t="s">
        <v>177</v>
      </c>
      <c r="T27" s="50">
        <v>199</v>
      </c>
      <c r="U27" s="50" t="s">
        <v>183</v>
      </c>
      <c r="V27" s="50">
        <v>134</v>
      </c>
      <c r="W27" s="50" t="s">
        <v>184</v>
      </c>
      <c r="X27" s="50">
        <v>73</v>
      </c>
      <c r="Y27" s="50" t="s">
        <v>191</v>
      </c>
      <c r="Z27" s="50">
        <v>24</v>
      </c>
      <c r="AA27" s="50" t="s">
        <v>192</v>
      </c>
      <c r="AB27" s="50">
        <v>61</v>
      </c>
      <c r="AC27" s="50" t="s">
        <v>185</v>
      </c>
      <c r="AD27" s="50">
        <v>244</v>
      </c>
      <c r="AE27" s="50"/>
      <c r="AF27" s="50"/>
    </row>
    <row r="28" customHeight="1" spans="1:32">
      <c r="A28" s="49" t="s">
        <v>197</v>
      </c>
      <c r="B28" s="49">
        <v>47</v>
      </c>
      <c r="C28" s="49">
        <f t="shared" si="0"/>
        <v>1502</v>
      </c>
      <c r="D28" s="50"/>
      <c r="E28" s="50"/>
      <c r="F28" s="50"/>
      <c r="G28" s="50"/>
      <c r="H28" s="50"/>
      <c r="I28" s="50" t="s">
        <v>162</v>
      </c>
      <c r="J28" s="50">
        <v>181</v>
      </c>
      <c r="K28" s="50" t="s">
        <v>175</v>
      </c>
      <c r="L28" s="50">
        <v>161</v>
      </c>
      <c r="M28" s="50" t="s">
        <v>176</v>
      </c>
      <c r="N28" s="50">
        <v>155</v>
      </c>
      <c r="O28" s="50" t="s">
        <v>163</v>
      </c>
      <c r="P28" s="50">
        <v>29</v>
      </c>
      <c r="Q28" s="50" t="s">
        <v>164</v>
      </c>
      <c r="R28" s="50">
        <v>129</v>
      </c>
      <c r="S28" s="50" t="s">
        <v>177</v>
      </c>
      <c r="T28" s="50">
        <v>215</v>
      </c>
      <c r="U28" s="50" t="s">
        <v>183</v>
      </c>
      <c r="V28" s="50">
        <v>155</v>
      </c>
      <c r="W28" s="50" t="s">
        <v>184</v>
      </c>
      <c r="X28" s="50">
        <v>90</v>
      </c>
      <c r="Y28" s="50" t="s">
        <v>191</v>
      </c>
      <c r="Z28" s="50">
        <v>26</v>
      </c>
      <c r="AA28" s="50" t="s">
        <v>192</v>
      </c>
      <c r="AB28" s="50">
        <v>77</v>
      </c>
      <c r="AC28" s="50" t="s">
        <v>185</v>
      </c>
      <c r="AD28" s="50">
        <v>284</v>
      </c>
      <c r="AE28" s="50"/>
      <c r="AF28" s="50"/>
    </row>
    <row r="29" customHeight="1" spans="1:32">
      <c r="A29" s="49" t="s">
        <v>198</v>
      </c>
      <c r="B29" s="49">
        <v>52</v>
      </c>
      <c r="C29" s="49">
        <f t="shared" si="0"/>
        <v>1649</v>
      </c>
      <c r="D29" s="50"/>
      <c r="E29" s="50"/>
      <c r="F29" s="50"/>
      <c r="G29" s="50"/>
      <c r="H29" s="50"/>
      <c r="I29" s="50" t="s">
        <v>162</v>
      </c>
      <c r="J29" s="50">
        <v>170</v>
      </c>
      <c r="K29" s="50" t="s">
        <v>175</v>
      </c>
      <c r="L29" s="50">
        <v>161</v>
      </c>
      <c r="M29" s="50" t="s">
        <v>176</v>
      </c>
      <c r="N29" s="50">
        <v>170</v>
      </c>
      <c r="O29" s="50" t="s">
        <v>163</v>
      </c>
      <c r="P29" s="50">
        <v>29</v>
      </c>
      <c r="Q29" s="50" t="s">
        <v>164</v>
      </c>
      <c r="R29" s="50">
        <v>141</v>
      </c>
      <c r="S29" s="50" t="s">
        <v>177</v>
      </c>
      <c r="T29" s="50">
        <v>243</v>
      </c>
      <c r="U29" s="50" t="s">
        <v>183</v>
      </c>
      <c r="V29" s="50">
        <v>170</v>
      </c>
      <c r="W29" s="50" t="s">
        <v>184</v>
      </c>
      <c r="X29" s="50">
        <v>113</v>
      </c>
      <c r="Y29" s="50" t="s">
        <v>191</v>
      </c>
      <c r="Z29" s="50">
        <v>28</v>
      </c>
      <c r="AA29" s="50" t="s">
        <v>192</v>
      </c>
      <c r="AB29" s="50">
        <v>85</v>
      </c>
      <c r="AC29" s="50" t="s">
        <v>185</v>
      </c>
      <c r="AD29" s="50">
        <v>339</v>
      </c>
      <c r="AE29" s="50"/>
      <c r="AF29" s="50"/>
    </row>
    <row r="30" customHeight="1" spans="1:32">
      <c r="A30" s="49" t="s">
        <v>199</v>
      </c>
      <c r="B30" s="49">
        <v>60</v>
      </c>
      <c r="C30" s="49">
        <f t="shared" si="0"/>
        <v>1816</v>
      </c>
      <c r="D30" s="50"/>
      <c r="E30" s="50"/>
      <c r="F30" s="50"/>
      <c r="G30" s="50"/>
      <c r="H30" s="50"/>
      <c r="I30" s="50" t="s">
        <v>162</v>
      </c>
      <c r="J30" s="50">
        <v>154</v>
      </c>
      <c r="K30" s="50" t="s">
        <v>175</v>
      </c>
      <c r="L30" s="50">
        <v>161</v>
      </c>
      <c r="M30" s="50" t="s">
        <v>176</v>
      </c>
      <c r="N30" s="50">
        <v>185</v>
      </c>
      <c r="O30" s="50" t="s">
        <v>163</v>
      </c>
      <c r="P30" s="50">
        <v>29</v>
      </c>
      <c r="Q30" s="50" t="s">
        <v>164</v>
      </c>
      <c r="R30" s="50">
        <v>154</v>
      </c>
      <c r="S30" s="50" t="s">
        <v>177</v>
      </c>
      <c r="T30" s="50">
        <v>271</v>
      </c>
      <c r="U30" s="50" t="s">
        <v>183</v>
      </c>
      <c r="V30" s="50">
        <v>185</v>
      </c>
      <c r="W30" s="50" t="s">
        <v>184</v>
      </c>
      <c r="X30" s="50">
        <v>138</v>
      </c>
      <c r="Y30" s="50" t="s">
        <v>191</v>
      </c>
      <c r="Z30" s="50">
        <v>31</v>
      </c>
      <c r="AA30" s="50" t="s">
        <v>192</v>
      </c>
      <c r="AB30" s="50">
        <v>108</v>
      </c>
      <c r="AC30" s="50" t="s">
        <v>185</v>
      </c>
      <c r="AD30" s="50">
        <v>400</v>
      </c>
      <c r="AE30" s="50"/>
      <c r="AF30" s="50"/>
    </row>
    <row r="31" customHeight="1" spans="1:32">
      <c r="A31" s="49" t="s">
        <v>200</v>
      </c>
      <c r="B31" s="49">
        <v>68</v>
      </c>
      <c r="C31" s="49">
        <f t="shared" si="0"/>
        <v>1998</v>
      </c>
      <c r="D31" s="50"/>
      <c r="E31" s="50"/>
      <c r="F31" s="50"/>
      <c r="G31" s="50"/>
      <c r="H31" s="50"/>
      <c r="I31" s="50" t="s">
        <v>162</v>
      </c>
      <c r="J31" s="50">
        <v>132</v>
      </c>
      <c r="K31" s="50" t="s">
        <v>175</v>
      </c>
      <c r="L31" s="50">
        <v>161</v>
      </c>
      <c r="M31" s="50" t="s">
        <v>176</v>
      </c>
      <c r="N31" s="50">
        <v>199</v>
      </c>
      <c r="O31" s="50" t="s">
        <v>163</v>
      </c>
      <c r="P31" s="50">
        <v>29</v>
      </c>
      <c r="Q31" s="50" t="s">
        <v>164</v>
      </c>
      <c r="R31" s="50">
        <v>166</v>
      </c>
      <c r="S31" s="50" t="s">
        <v>177</v>
      </c>
      <c r="T31" s="50">
        <v>300</v>
      </c>
      <c r="U31" s="50" t="s">
        <v>183</v>
      </c>
      <c r="V31" s="50">
        <v>199</v>
      </c>
      <c r="W31" s="50" t="s">
        <v>184</v>
      </c>
      <c r="X31" s="50">
        <v>166</v>
      </c>
      <c r="Y31" s="50" t="s">
        <v>191</v>
      </c>
      <c r="Z31" s="50">
        <v>33</v>
      </c>
      <c r="AA31" s="50" t="s">
        <v>192</v>
      </c>
      <c r="AB31" s="50">
        <v>149</v>
      </c>
      <c r="AC31" s="50" t="s">
        <v>185</v>
      </c>
      <c r="AD31" s="50">
        <v>464</v>
      </c>
      <c r="AE31" s="50"/>
      <c r="AF31" s="50"/>
    </row>
    <row r="32" customHeight="1" spans="1:32">
      <c r="A32" s="49" t="s">
        <v>201</v>
      </c>
      <c r="B32" s="49">
        <v>76</v>
      </c>
      <c r="C32" s="49">
        <f t="shared" si="0"/>
        <v>2197</v>
      </c>
      <c r="D32" s="50"/>
      <c r="E32" s="50"/>
      <c r="F32" s="50"/>
      <c r="G32" s="50"/>
      <c r="H32" s="50"/>
      <c r="I32" s="50" t="s">
        <v>162</v>
      </c>
      <c r="J32" s="50">
        <v>107</v>
      </c>
      <c r="K32" s="50" t="s">
        <v>175</v>
      </c>
      <c r="L32" s="50">
        <v>161</v>
      </c>
      <c r="M32" s="50" t="s">
        <v>176</v>
      </c>
      <c r="N32" s="50">
        <v>215</v>
      </c>
      <c r="O32" s="50" t="s">
        <v>163</v>
      </c>
      <c r="P32" s="50">
        <v>29</v>
      </c>
      <c r="Q32" s="50" t="s">
        <v>164</v>
      </c>
      <c r="R32" s="50">
        <v>179</v>
      </c>
      <c r="S32" s="50" t="s">
        <v>177</v>
      </c>
      <c r="T32" s="50">
        <v>324</v>
      </c>
      <c r="U32" s="50" t="s">
        <v>183</v>
      </c>
      <c r="V32" s="50">
        <v>233</v>
      </c>
      <c r="W32" s="50" t="s">
        <v>184</v>
      </c>
      <c r="X32" s="50">
        <v>179</v>
      </c>
      <c r="Y32" s="50" t="s">
        <v>191</v>
      </c>
      <c r="Z32" s="50">
        <v>36</v>
      </c>
      <c r="AA32" s="50" t="s">
        <v>192</v>
      </c>
      <c r="AB32" s="50">
        <v>197</v>
      </c>
      <c r="AC32" s="50" t="s">
        <v>185</v>
      </c>
      <c r="AD32" s="50">
        <v>537</v>
      </c>
      <c r="AE32" s="50"/>
      <c r="AF32" s="50"/>
    </row>
    <row r="33" customHeight="1" spans="1:32">
      <c r="A33" s="51" t="s">
        <v>202</v>
      </c>
      <c r="B33" s="51">
        <v>88</v>
      </c>
      <c r="C33" s="51">
        <f t="shared" si="0"/>
        <v>2434</v>
      </c>
      <c r="D33" s="52"/>
      <c r="E33" s="52"/>
      <c r="F33" s="52"/>
      <c r="G33" s="52"/>
      <c r="H33" s="52"/>
      <c r="I33" s="52"/>
      <c r="J33" s="52"/>
      <c r="K33" s="52" t="s">
        <v>175</v>
      </c>
      <c r="L33" s="52">
        <v>161</v>
      </c>
      <c r="M33" s="52" t="s">
        <v>176</v>
      </c>
      <c r="N33" s="52">
        <v>207</v>
      </c>
      <c r="O33" s="52" t="s">
        <v>163</v>
      </c>
      <c r="P33" s="52">
        <v>29</v>
      </c>
      <c r="Q33" s="52" t="s">
        <v>164</v>
      </c>
      <c r="R33" s="52">
        <v>216</v>
      </c>
      <c r="S33" s="52" t="s">
        <v>177</v>
      </c>
      <c r="T33" s="52">
        <v>374</v>
      </c>
      <c r="U33" s="52" t="s">
        <v>183</v>
      </c>
      <c r="V33" s="52">
        <v>269</v>
      </c>
      <c r="W33" s="52" t="s">
        <v>184</v>
      </c>
      <c r="X33" s="52">
        <v>207</v>
      </c>
      <c r="Y33" s="52" t="s">
        <v>191</v>
      </c>
      <c r="Z33" s="52">
        <v>62</v>
      </c>
      <c r="AA33" s="52" t="s">
        <v>192</v>
      </c>
      <c r="AB33" s="52">
        <v>269</v>
      </c>
      <c r="AC33" s="52" t="s">
        <v>185</v>
      </c>
      <c r="AD33" s="52">
        <v>640</v>
      </c>
      <c r="AE33" s="52"/>
      <c r="AF33" s="52"/>
    </row>
    <row r="34" customHeight="1" spans="1:32">
      <c r="A34" s="51" t="s">
        <v>203</v>
      </c>
      <c r="B34" s="51">
        <v>110</v>
      </c>
      <c r="C34" s="51">
        <f t="shared" si="0"/>
        <v>2710</v>
      </c>
      <c r="D34" s="52"/>
      <c r="E34" s="52"/>
      <c r="F34" s="52"/>
      <c r="G34" s="52"/>
      <c r="H34" s="52"/>
      <c r="I34" s="52"/>
      <c r="J34" s="52"/>
      <c r="K34" s="52" t="s">
        <v>175</v>
      </c>
      <c r="L34" s="52">
        <v>161</v>
      </c>
      <c r="M34" s="52" t="s">
        <v>176</v>
      </c>
      <c r="N34" s="52">
        <v>238</v>
      </c>
      <c r="O34" s="52" t="s">
        <v>163</v>
      </c>
      <c r="P34" s="52">
        <v>29</v>
      </c>
      <c r="Q34" s="52" t="s">
        <v>164</v>
      </c>
      <c r="R34" s="52">
        <v>216</v>
      </c>
      <c r="S34" s="52" t="s">
        <v>177</v>
      </c>
      <c r="T34" s="52">
        <v>406</v>
      </c>
      <c r="U34" s="52" t="s">
        <v>183</v>
      </c>
      <c r="V34" s="52">
        <v>314</v>
      </c>
      <c r="W34" s="52" t="s">
        <v>184</v>
      </c>
      <c r="X34" s="52">
        <v>224</v>
      </c>
      <c r="Y34" s="52" t="s">
        <v>191</v>
      </c>
      <c r="Z34" s="52">
        <v>90</v>
      </c>
      <c r="AA34" s="52" t="s">
        <v>192</v>
      </c>
      <c r="AB34" s="52">
        <v>314</v>
      </c>
      <c r="AC34" s="52" t="s">
        <v>185</v>
      </c>
      <c r="AD34" s="52">
        <v>718</v>
      </c>
      <c r="AE34" s="52"/>
      <c r="AF34" s="52"/>
    </row>
    <row r="35" customHeight="1" spans="1:32">
      <c r="A35" s="51" t="s">
        <v>204</v>
      </c>
      <c r="B35" s="51">
        <v>120</v>
      </c>
      <c r="C35" s="51">
        <f t="shared" si="0"/>
        <v>2970</v>
      </c>
      <c r="D35" s="52"/>
      <c r="E35" s="52"/>
      <c r="F35" s="52"/>
      <c r="G35" s="52"/>
      <c r="H35" s="52"/>
      <c r="I35" s="52"/>
      <c r="J35" s="52"/>
      <c r="K35" s="52" t="s">
        <v>175</v>
      </c>
      <c r="L35" s="52">
        <v>161</v>
      </c>
      <c r="M35" s="52" t="s">
        <v>176</v>
      </c>
      <c r="N35" s="52">
        <v>238</v>
      </c>
      <c r="O35" s="52" t="s">
        <v>163</v>
      </c>
      <c r="P35" s="52">
        <v>29</v>
      </c>
      <c r="Q35" s="52" t="s">
        <v>164</v>
      </c>
      <c r="R35" s="52">
        <v>216</v>
      </c>
      <c r="S35" s="52" t="s">
        <v>177</v>
      </c>
      <c r="T35" s="52">
        <v>447</v>
      </c>
      <c r="U35" s="52" t="s">
        <v>183</v>
      </c>
      <c r="V35" s="52">
        <v>346</v>
      </c>
      <c r="W35" s="52" t="s">
        <v>184</v>
      </c>
      <c r="X35" s="52">
        <v>247</v>
      </c>
      <c r="Y35" s="52" t="s">
        <v>191</v>
      </c>
      <c r="Z35" s="52">
        <v>124</v>
      </c>
      <c r="AA35" s="52" t="s">
        <v>192</v>
      </c>
      <c r="AB35" s="52">
        <v>346</v>
      </c>
      <c r="AC35" s="52" t="s">
        <v>185</v>
      </c>
      <c r="AD35" s="52">
        <v>816</v>
      </c>
      <c r="AE35" s="52"/>
      <c r="AF35" s="52"/>
    </row>
    <row r="36" customHeight="1" spans="1:32">
      <c r="A36" s="51" t="s">
        <v>205</v>
      </c>
      <c r="B36" s="51">
        <v>130</v>
      </c>
      <c r="C36" s="51">
        <f t="shared" si="0"/>
        <v>3253</v>
      </c>
      <c r="D36" s="52"/>
      <c r="E36" s="52"/>
      <c r="F36" s="52"/>
      <c r="G36" s="52"/>
      <c r="H36" s="52"/>
      <c r="I36" s="52"/>
      <c r="J36" s="52"/>
      <c r="K36" s="52" t="s">
        <v>175</v>
      </c>
      <c r="L36" s="52">
        <v>161</v>
      </c>
      <c r="M36" s="52" t="s">
        <v>176</v>
      </c>
      <c r="N36" s="52">
        <v>238</v>
      </c>
      <c r="O36" s="52" t="s">
        <v>163</v>
      </c>
      <c r="P36" s="52">
        <v>29</v>
      </c>
      <c r="Q36" s="52" t="s">
        <v>164</v>
      </c>
      <c r="R36" s="52">
        <v>216</v>
      </c>
      <c r="S36" s="52" t="s">
        <v>177</v>
      </c>
      <c r="T36" s="52">
        <v>497</v>
      </c>
      <c r="U36" s="52" t="s">
        <v>183</v>
      </c>
      <c r="V36" s="52">
        <v>384</v>
      </c>
      <c r="W36" s="52" t="s">
        <v>184</v>
      </c>
      <c r="X36" s="52">
        <v>274</v>
      </c>
      <c r="Y36" s="52" t="s">
        <v>191</v>
      </c>
      <c r="Z36" s="52">
        <v>137</v>
      </c>
      <c r="AA36" s="52" t="s">
        <v>192</v>
      </c>
      <c r="AB36" s="52">
        <v>384</v>
      </c>
      <c r="AC36" s="52" t="s">
        <v>185</v>
      </c>
      <c r="AD36" s="52">
        <v>933</v>
      </c>
      <c r="AE36" s="52"/>
      <c r="AF36" s="52"/>
    </row>
    <row r="37" customHeight="1" spans="1:32">
      <c r="A37" s="51" t="s">
        <v>206</v>
      </c>
      <c r="B37" s="51">
        <v>145</v>
      </c>
      <c r="C37" s="51">
        <f t="shared" ref="C37:C68" si="1">SUM(F37:AF37)</f>
        <v>3566</v>
      </c>
      <c r="D37" s="52"/>
      <c r="E37" s="52"/>
      <c r="F37" s="52"/>
      <c r="G37" s="52"/>
      <c r="H37" s="52"/>
      <c r="I37" s="52"/>
      <c r="J37" s="52"/>
      <c r="K37" s="52" t="s">
        <v>175</v>
      </c>
      <c r="L37" s="52">
        <v>161</v>
      </c>
      <c r="M37" s="52" t="s">
        <v>176</v>
      </c>
      <c r="N37" s="52">
        <v>238</v>
      </c>
      <c r="O37" s="52" t="s">
        <v>163</v>
      </c>
      <c r="P37" s="52">
        <v>29</v>
      </c>
      <c r="Q37" s="52" t="s">
        <v>164</v>
      </c>
      <c r="R37" s="52">
        <v>216</v>
      </c>
      <c r="S37" s="52" t="s">
        <v>177</v>
      </c>
      <c r="T37" s="52">
        <v>550</v>
      </c>
      <c r="U37" s="52" t="s">
        <v>183</v>
      </c>
      <c r="V37" s="52">
        <v>426</v>
      </c>
      <c r="W37" s="52" t="s">
        <v>184</v>
      </c>
      <c r="X37" s="52">
        <v>304</v>
      </c>
      <c r="Y37" s="52" t="s">
        <v>191</v>
      </c>
      <c r="Z37" s="52">
        <v>152</v>
      </c>
      <c r="AA37" s="52" t="s">
        <v>192</v>
      </c>
      <c r="AB37" s="52">
        <v>426</v>
      </c>
      <c r="AC37" s="52" t="s">
        <v>185</v>
      </c>
      <c r="AD37" s="52">
        <v>1064</v>
      </c>
      <c r="AE37" s="52"/>
      <c r="AF37" s="52"/>
    </row>
    <row r="38" customHeight="1" spans="1:32">
      <c r="A38" s="51" t="s">
        <v>207</v>
      </c>
      <c r="B38" s="51">
        <v>160</v>
      </c>
      <c r="C38" s="51">
        <f t="shared" si="1"/>
        <v>3905</v>
      </c>
      <c r="D38" s="52"/>
      <c r="E38" s="52"/>
      <c r="F38" s="52"/>
      <c r="G38" s="52"/>
      <c r="H38" s="52"/>
      <c r="I38" s="52"/>
      <c r="J38" s="52"/>
      <c r="K38" s="52" t="s">
        <v>175</v>
      </c>
      <c r="L38" s="52">
        <v>161</v>
      </c>
      <c r="M38" s="52" t="s">
        <v>176</v>
      </c>
      <c r="N38" s="52">
        <v>238</v>
      </c>
      <c r="O38" s="52" t="s">
        <v>163</v>
      </c>
      <c r="P38" s="52">
        <v>29</v>
      </c>
      <c r="Q38" s="52" t="s">
        <v>164</v>
      </c>
      <c r="R38" s="52">
        <v>216</v>
      </c>
      <c r="S38" s="52" t="s">
        <v>177</v>
      </c>
      <c r="T38" s="52">
        <v>614</v>
      </c>
      <c r="U38" s="52" t="s">
        <v>183</v>
      </c>
      <c r="V38" s="52">
        <v>441</v>
      </c>
      <c r="W38" s="52" t="s">
        <v>184</v>
      </c>
      <c r="X38" s="52">
        <v>339</v>
      </c>
      <c r="Y38" s="52" t="s">
        <v>191</v>
      </c>
      <c r="Z38" s="52">
        <v>204</v>
      </c>
      <c r="AA38" s="52" t="s">
        <v>192</v>
      </c>
      <c r="AB38" s="52">
        <v>475</v>
      </c>
      <c r="AC38" s="52" t="s">
        <v>185</v>
      </c>
      <c r="AD38" s="52">
        <v>1188</v>
      </c>
      <c r="AE38" s="52"/>
      <c r="AF38" s="52"/>
    </row>
    <row r="39" customHeight="1" spans="1:32">
      <c r="A39" s="51" t="s">
        <v>208</v>
      </c>
      <c r="B39" s="51">
        <v>175</v>
      </c>
      <c r="C39" s="51">
        <f t="shared" si="1"/>
        <v>4287</v>
      </c>
      <c r="D39" s="52"/>
      <c r="E39" s="52"/>
      <c r="F39" s="52"/>
      <c r="G39" s="52"/>
      <c r="H39" s="52"/>
      <c r="I39" s="52"/>
      <c r="J39" s="52"/>
      <c r="K39" s="52" t="s">
        <v>175</v>
      </c>
      <c r="L39" s="52">
        <v>161</v>
      </c>
      <c r="M39" s="52" t="s">
        <v>176</v>
      </c>
      <c r="N39" s="52">
        <v>238</v>
      </c>
      <c r="O39" s="52" t="s">
        <v>163</v>
      </c>
      <c r="P39" s="52">
        <v>29</v>
      </c>
      <c r="Q39" s="52" t="s">
        <v>164</v>
      </c>
      <c r="R39" s="52">
        <v>216</v>
      </c>
      <c r="S39" s="52" t="s">
        <v>177</v>
      </c>
      <c r="T39" s="52">
        <v>679</v>
      </c>
      <c r="U39" s="52" t="s">
        <v>183</v>
      </c>
      <c r="V39" s="52">
        <v>488</v>
      </c>
      <c r="W39" s="52" t="s">
        <v>184</v>
      </c>
      <c r="X39" s="52">
        <v>375</v>
      </c>
      <c r="Y39" s="52" t="s">
        <v>191</v>
      </c>
      <c r="Z39" s="52">
        <v>225</v>
      </c>
      <c r="AA39" s="52" t="s">
        <v>192</v>
      </c>
      <c r="AB39" s="52">
        <v>563</v>
      </c>
      <c r="AC39" s="52" t="s">
        <v>185</v>
      </c>
      <c r="AD39" s="52">
        <v>1313</v>
      </c>
      <c r="AE39" s="52"/>
      <c r="AF39" s="52"/>
    </row>
    <row r="40" customHeight="1" spans="1:32">
      <c r="A40" s="51" t="s">
        <v>209</v>
      </c>
      <c r="B40" s="51">
        <v>190</v>
      </c>
      <c r="C40" s="51">
        <f t="shared" si="1"/>
        <v>4701</v>
      </c>
      <c r="D40" s="52"/>
      <c r="E40" s="52"/>
      <c r="F40" s="52"/>
      <c r="G40" s="52"/>
      <c r="H40" s="52"/>
      <c r="I40" s="52"/>
      <c r="J40" s="52"/>
      <c r="K40" s="52" t="s">
        <v>175</v>
      </c>
      <c r="L40" s="52">
        <v>161</v>
      </c>
      <c r="M40" s="52" t="s">
        <v>176</v>
      </c>
      <c r="N40" s="52">
        <v>238</v>
      </c>
      <c r="O40" s="52" t="s">
        <v>163</v>
      </c>
      <c r="P40" s="52">
        <v>29</v>
      </c>
      <c r="Q40" s="52" t="s">
        <v>164</v>
      </c>
      <c r="R40" s="52">
        <v>216</v>
      </c>
      <c r="S40" s="52" t="s">
        <v>177</v>
      </c>
      <c r="T40" s="52">
        <v>756</v>
      </c>
      <c r="U40" s="52" t="s">
        <v>183</v>
      </c>
      <c r="V40" s="52">
        <v>543</v>
      </c>
      <c r="W40" s="52" t="s">
        <v>184</v>
      </c>
      <c r="X40" s="52">
        <v>418</v>
      </c>
      <c r="Y40" s="52" t="s">
        <v>191</v>
      </c>
      <c r="Z40" s="52">
        <v>251</v>
      </c>
      <c r="AA40" s="52" t="s">
        <v>192</v>
      </c>
      <c r="AB40" s="52">
        <v>627</v>
      </c>
      <c r="AC40" s="52" t="s">
        <v>185</v>
      </c>
      <c r="AD40" s="52">
        <v>1462</v>
      </c>
      <c r="AE40" s="52"/>
      <c r="AF40" s="52"/>
    </row>
    <row r="41" customHeight="1" spans="1:32">
      <c r="A41" s="51" t="s">
        <v>210</v>
      </c>
      <c r="B41" s="51">
        <v>205</v>
      </c>
      <c r="C41" s="51">
        <f t="shared" si="1"/>
        <v>5157</v>
      </c>
      <c r="D41" s="52"/>
      <c r="E41" s="52"/>
      <c r="F41" s="52"/>
      <c r="G41" s="52"/>
      <c r="H41" s="52"/>
      <c r="I41" s="52"/>
      <c r="J41" s="52"/>
      <c r="K41" s="52" t="s">
        <v>175</v>
      </c>
      <c r="L41" s="52">
        <v>161</v>
      </c>
      <c r="M41" s="52" t="s">
        <v>176</v>
      </c>
      <c r="N41" s="52">
        <v>238</v>
      </c>
      <c r="O41" s="52" t="s">
        <v>163</v>
      </c>
      <c r="P41" s="52">
        <v>29</v>
      </c>
      <c r="Q41" s="52" t="s">
        <v>164</v>
      </c>
      <c r="R41" s="52">
        <v>216</v>
      </c>
      <c r="S41" s="52" t="s">
        <v>177</v>
      </c>
      <c r="T41" s="52">
        <v>841</v>
      </c>
      <c r="U41" s="52" t="s">
        <v>183</v>
      </c>
      <c r="V41" s="52">
        <v>604</v>
      </c>
      <c r="W41" s="52" t="s">
        <v>184</v>
      </c>
      <c r="X41" s="52">
        <v>465</v>
      </c>
      <c r="Y41" s="52" t="s">
        <v>191</v>
      </c>
      <c r="Z41" s="52">
        <v>279</v>
      </c>
      <c r="AA41" s="52" t="s">
        <v>192</v>
      </c>
      <c r="AB41" s="52">
        <v>697</v>
      </c>
      <c r="AC41" s="52" t="s">
        <v>185</v>
      </c>
      <c r="AD41" s="52">
        <v>1627</v>
      </c>
      <c r="AE41" s="52"/>
      <c r="AF41" s="52"/>
    </row>
    <row r="42" customHeight="1" spans="1:32">
      <c r="A42" s="51" t="s">
        <v>211</v>
      </c>
      <c r="B42" s="51">
        <v>225</v>
      </c>
      <c r="C42" s="51">
        <f t="shared" si="1"/>
        <v>5667</v>
      </c>
      <c r="D42" s="52"/>
      <c r="E42" s="52"/>
      <c r="F42" s="52"/>
      <c r="G42" s="52"/>
      <c r="H42" s="52"/>
      <c r="I42" s="52"/>
      <c r="J42" s="52"/>
      <c r="K42" s="52" t="s">
        <v>175</v>
      </c>
      <c r="L42" s="52">
        <v>161</v>
      </c>
      <c r="M42" s="52" t="s">
        <v>176</v>
      </c>
      <c r="N42" s="52">
        <v>238</v>
      </c>
      <c r="O42" s="52" t="s">
        <v>163</v>
      </c>
      <c r="P42" s="52">
        <v>29</v>
      </c>
      <c r="Q42" s="52" t="s">
        <v>164</v>
      </c>
      <c r="R42" s="52">
        <v>216</v>
      </c>
      <c r="S42" s="52" t="s">
        <v>177</v>
      </c>
      <c r="T42" s="52">
        <v>927</v>
      </c>
      <c r="U42" s="52" t="s">
        <v>183</v>
      </c>
      <c r="V42" s="52">
        <v>666</v>
      </c>
      <c r="W42" s="52" t="s">
        <v>184</v>
      </c>
      <c r="X42" s="52">
        <v>512</v>
      </c>
      <c r="Y42" s="52" t="s">
        <v>191</v>
      </c>
      <c r="Z42" s="52">
        <v>358</v>
      </c>
      <c r="AA42" s="52" t="s">
        <v>192</v>
      </c>
      <c r="AB42" s="52">
        <v>768</v>
      </c>
      <c r="AC42" s="52" t="s">
        <v>185</v>
      </c>
      <c r="AD42" s="52">
        <v>1792</v>
      </c>
      <c r="AE42" s="52"/>
      <c r="AF42" s="52"/>
    </row>
    <row r="43" customHeight="1" spans="1:32">
      <c r="A43" s="53" t="s">
        <v>212</v>
      </c>
      <c r="B43" s="53">
        <v>245</v>
      </c>
      <c r="C43" s="53">
        <f t="shared" si="1"/>
        <v>6211</v>
      </c>
      <c r="D43" s="54"/>
      <c r="E43" s="54"/>
      <c r="F43" s="54"/>
      <c r="G43" s="54"/>
      <c r="H43" s="54"/>
      <c r="I43" s="54"/>
      <c r="J43" s="54"/>
      <c r="K43" s="54"/>
      <c r="L43" s="54"/>
      <c r="M43" s="54" t="s">
        <v>176</v>
      </c>
      <c r="N43" s="54">
        <v>238</v>
      </c>
      <c r="O43" s="54" t="s">
        <v>163</v>
      </c>
      <c r="P43" s="54">
        <v>29</v>
      </c>
      <c r="Q43" s="54" t="s">
        <v>164</v>
      </c>
      <c r="R43" s="54">
        <v>216</v>
      </c>
      <c r="S43" s="54" t="s">
        <v>177</v>
      </c>
      <c r="T43" s="54">
        <v>964</v>
      </c>
      <c r="U43" s="54" t="s">
        <v>183</v>
      </c>
      <c r="V43" s="54">
        <v>681</v>
      </c>
      <c r="W43" s="54" t="s">
        <v>184</v>
      </c>
      <c r="X43" s="54">
        <v>567</v>
      </c>
      <c r="Y43" s="54" t="s">
        <v>191</v>
      </c>
      <c r="Z43" s="54">
        <v>454</v>
      </c>
      <c r="AA43" s="54" t="s">
        <v>192</v>
      </c>
      <c r="AB43" s="54">
        <v>851</v>
      </c>
      <c r="AC43" s="54" t="s">
        <v>185</v>
      </c>
      <c r="AD43" s="54">
        <v>2098</v>
      </c>
      <c r="AE43" s="54" t="s">
        <v>213</v>
      </c>
      <c r="AF43" s="54">
        <v>113</v>
      </c>
    </row>
    <row r="44" customHeight="1" spans="1:32">
      <c r="A44" s="53" t="s">
        <v>214</v>
      </c>
      <c r="B44" s="53">
        <v>265</v>
      </c>
      <c r="C44" s="53">
        <f t="shared" si="1"/>
        <v>6829</v>
      </c>
      <c r="D44" s="54"/>
      <c r="E44" s="54"/>
      <c r="F44" s="54"/>
      <c r="G44" s="54"/>
      <c r="H44" s="54"/>
      <c r="I44" s="54"/>
      <c r="J44" s="54"/>
      <c r="K44" s="54"/>
      <c r="L44" s="54"/>
      <c r="M44" s="54" t="s">
        <v>176</v>
      </c>
      <c r="N44" s="54">
        <v>238</v>
      </c>
      <c r="O44" s="54" t="s">
        <v>163</v>
      </c>
      <c r="P44" s="54">
        <v>29</v>
      </c>
      <c r="Q44" s="54" t="s">
        <v>164</v>
      </c>
      <c r="R44" s="54">
        <v>216</v>
      </c>
      <c r="S44" s="54" t="s">
        <v>177</v>
      </c>
      <c r="T44" s="54">
        <v>995</v>
      </c>
      <c r="U44" s="54" t="s">
        <v>183</v>
      </c>
      <c r="V44" s="54">
        <v>747</v>
      </c>
      <c r="W44" s="54" t="s">
        <v>184</v>
      </c>
      <c r="X44" s="54">
        <v>622</v>
      </c>
      <c r="Y44" s="54" t="s">
        <v>191</v>
      </c>
      <c r="Z44" s="54">
        <v>560</v>
      </c>
      <c r="AA44" s="54" t="s">
        <v>192</v>
      </c>
      <c r="AB44" s="54">
        <v>871</v>
      </c>
      <c r="AC44" s="54" t="s">
        <v>185</v>
      </c>
      <c r="AD44" s="54">
        <v>2364</v>
      </c>
      <c r="AE44" s="54" t="s">
        <v>213</v>
      </c>
      <c r="AF44" s="54">
        <v>187</v>
      </c>
    </row>
    <row r="45" customHeight="1" spans="1:32">
      <c r="A45" s="53" t="s">
        <v>215</v>
      </c>
      <c r="B45" s="53">
        <v>285</v>
      </c>
      <c r="C45" s="53">
        <f t="shared" si="1"/>
        <v>7509</v>
      </c>
      <c r="D45" s="54"/>
      <c r="E45" s="54"/>
      <c r="F45" s="54"/>
      <c r="G45" s="54"/>
      <c r="H45" s="54"/>
      <c r="I45" s="54"/>
      <c r="J45" s="54"/>
      <c r="K45" s="54"/>
      <c r="L45" s="54"/>
      <c r="M45" s="54" t="s">
        <v>176</v>
      </c>
      <c r="N45" s="54">
        <v>238</v>
      </c>
      <c r="O45" s="54" t="s">
        <v>163</v>
      </c>
      <c r="P45" s="54">
        <v>29</v>
      </c>
      <c r="Q45" s="54" t="s">
        <v>164</v>
      </c>
      <c r="R45" s="54">
        <v>216</v>
      </c>
      <c r="S45" s="54" t="s">
        <v>177</v>
      </c>
      <c r="T45" s="54">
        <v>1023</v>
      </c>
      <c r="U45" s="54" t="s">
        <v>183</v>
      </c>
      <c r="V45" s="54">
        <v>819</v>
      </c>
      <c r="W45" s="54" t="s">
        <v>184</v>
      </c>
      <c r="X45" s="54">
        <v>682</v>
      </c>
      <c r="Y45" s="54" t="s">
        <v>191</v>
      </c>
      <c r="Z45" s="54">
        <v>682</v>
      </c>
      <c r="AA45" s="54" t="s">
        <v>192</v>
      </c>
      <c r="AB45" s="54">
        <v>887</v>
      </c>
      <c r="AC45" s="54" t="s">
        <v>185</v>
      </c>
      <c r="AD45" s="54">
        <v>2660</v>
      </c>
      <c r="AE45" s="54" t="s">
        <v>213</v>
      </c>
      <c r="AF45" s="54">
        <v>273</v>
      </c>
    </row>
    <row r="46" customHeight="1" spans="1:32">
      <c r="A46" s="53" t="s">
        <v>216</v>
      </c>
      <c r="B46" s="53">
        <v>305</v>
      </c>
      <c r="C46" s="53">
        <f t="shared" si="1"/>
        <v>8261</v>
      </c>
      <c r="D46" s="54"/>
      <c r="E46" s="54"/>
      <c r="F46" s="54"/>
      <c r="G46" s="54"/>
      <c r="H46" s="54"/>
      <c r="I46" s="54"/>
      <c r="J46" s="54"/>
      <c r="K46" s="54"/>
      <c r="L46" s="54"/>
      <c r="M46" s="54" t="s">
        <v>176</v>
      </c>
      <c r="N46" s="54">
        <v>238</v>
      </c>
      <c r="O46" s="54" t="s">
        <v>163</v>
      </c>
      <c r="P46" s="54">
        <v>29</v>
      </c>
      <c r="Q46" s="54" t="s">
        <v>164</v>
      </c>
      <c r="R46" s="54">
        <v>216</v>
      </c>
      <c r="S46" s="54" t="s">
        <v>177</v>
      </c>
      <c r="T46" s="54">
        <v>1111</v>
      </c>
      <c r="U46" s="54" t="s">
        <v>183</v>
      </c>
      <c r="V46" s="54">
        <v>889</v>
      </c>
      <c r="W46" s="54" t="s">
        <v>184</v>
      </c>
      <c r="X46" s="54">
        <v>741</v>
      </c>
      <c r="Y46" s="54" t="s">
        <v>191</v>
      </c>
      <c r="Z46" s="54">
        <v>741</v>
      </c>
      <c r="AA46" s="54" t="s">
        <v>192</v>
      </c>
      <c r="AB46" s="54">
        <v>963</v>
      </c>
      <c r="AC46" s="54" t="s">
        <v>185</v>
      </c>
      <c r="AD46" s="54">
        <v>2963</v>
      </c>
      <c r="AE46" s="54" t="s">
        <v>213</v>
      </c>
      <c r="AF46" s="54">
        <v>370</v>
      </c>
    </row>
    <row r="47" customHeight="1" spans="1:32">
      <c r="A47" s="53" t="s">
        <v>217</v>
      </c>
      <c r="B47" s="53">
        <v>325</v>
      </c>
      <c r="C47" s="53">
        <f t="shared" si="1"/>
        <v>9081</v>
      </c>
      <c r="D47" s="54"/>
      <c r="E47" s="54"/>
      <c r="F47" s="54"/>
      <c r="G47" s="54"/>
      <c r="H47" s="54"/>
      <c r="I47" s="54"/>
      <c r="J47" s="54"/>
      <c r="K47" s="54"/>
      <c r="L47" s="54"/>
      <c r="M47" s="54" t="s">
        <v>176</v>
      </c>
      <c r="N47" s="54">
        <v>238</v>
      </c>
      <c r="O47" s="54" t="s">
        <v>163</v>
      </c>
      <c r="P47" s="54">
        <v>29</v>
      </c>
      <c r="Q47" s="54" t="s">
        <v>164</v>
      </c>
      <c r="R47" s="54">
        <v>216</v>
      </c>
      <c r="S47" s="54" t="s">
        <v>177</v>
      </c>
      <c r="T47" s="54">
        <v>1228</v>
      </c>
      <c r="U47" s="54" t="s">
        <v>183</v>
      </c>
      <c r="V47" s="54">
        <v>983</v>
      </c>
      <c r="W47" s="54" t="s">
        <v>184</v>
      </c>
      <c r="X47" s="54">
        <v>819</v>
      </c>
      <c r="Y47" s="54" t="s">
        <v>191</v>
      </c>
      <c r="Z47" s="54">
        <v>819</v>
      </c>
      <c r="AA47" s="54" t="s">
        <v>192</v>
      </c>
      <c r="AB47" s="54">
        <v>1065</v>
      </c>
      <c r="AC47" s="54" t="s">
        <v>185</v>
      </c>
      <c r="AD47" s="54">
        <v>3275</v>
      </c>
      <c r="AE47" s="54" t="s">
        <v>213</v>
      </c>
      <c r="AF47" s="54">
        <v>409</v>
      </c>
    </row>
    <row r="48" customHeight="1" spans="1:32">
      <c r="A48" s="55" t="s">
        <v>218</v>
      </c>
      <c r="B48" s="55">
        <v>350</v>
      </c>
      <c r="C48" s="55">
        <f t="shared" si="1"/>
        <v>9955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">
        <v>163</v>
      </c>
      <c r="P48" s="56">
        <v>29</v>
      </c>
      <c r="Q48" s="56" t="s">
        <v>164</v>
      </c>
      <c r="R48" s="56">
        <v>216</v>
      </c>
      <c r="S48" s="56" t="s">
        <v>177</v>
      </c>
      <c r="T48" s="56">
        <v>1400</v>
      </c>
      <c r="U48" s="56" t="s">
        <v>183</v>
      </c>
      <c r="V48" s="56">
        <v>1027</v>
      </c>
      <c r="W48" s="56" t="s">
        <v>184</v>
      </c>
      <c r="X48" s="56">
        <v>934</v>
      </c>
      <c r="Y48" s="56" t="s">
        <v>191</v>
      </c>
      <c r="Z48" s="56">
        <v>934</v>
      </c>
      <c r="AA48" s="56" t="s">
        <v>192</v>
      </c>
      <c r="AB48" s="56">
        <v>1214</v>
      </c>
      <c r="AC48" s="56" t="s">
        <v>185</v>
      </c>
      <c r="AD48" s="56">
        <v>3734</v>
      </c>
      <c r="AE48" s="56" t="s">
        <v>213</v>
      </c>
      <c r="AF48" s="56">
        <v>467</v>
      </c>
    </row>
    <row r="49" customHeight="1" spans="1:32">
      <c r="A49" s="55" t="s">
        <v>219</v>
      </c>
      <c r="B49" s="55">
        <v>375</v>
      </c>
      <c r="C49" s="55">
        <f t="shared" si="1"/>
        <v>10948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">
        <v>163</v>
      </c>
      <c r="P49" s="56">
        <v>29</v>
      </c>
      <c r="Q49" s="56" t="s">
        <v>164</v>
      </c>
      <c r="R49" s="56">
        <v>216</v>
      </c>
      <c r="S49" s="56" t="s">
        <v>177</v>
      </c>
      <c r="T49" s="56">
        <v>1544</v>
      </c>
      <c r="U49" s="56" t="s">
        <v>183</v>
      </c>
      <c r="V49" s="56">
        <v>1132</v>
      </c>
      <c r="W49" s="56" t="s">
        <v>184</v>
      </c>
      <c r="X49" s="56">
        <v>1029</v>
      </c>
      <c r="Y49" s="56" t="s">
        <v>191</v>
      </c>
      <c r="Z49" s="56">
        <v>1029</v>
      </c>
      <c r="AA49" s="56" t="s">
        <v>192</v>
      </c>
      <c r="AB49" s="56">
        <v>1338</v>
      </c>
      <c r="AC49" s="56" t="s">
        <v>185</v>
      </c>
      <c r="AD49" s="56">
        <v>4116</v>
      </c>
      <c r="AE49" s="56" t="s">
        <v>213</v>
      </c>
      <c r="AF49" s="56">
        <v>515</v>
      </c>
    </row>
    <row r="50" customHeight="1" spans="1:32">
      <c r="A50" s="55" t="s">
        <v>220</v>
      </c>
      <c r="B50" s="55">
        <v>400</v>
      </c>
      <c r="C50" s="55">
        <f t="shared" si="1"/>
        <v>12040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">
        <v>163</v>
      </c>
      <c r="P50" s="56">
        <v>29</v>
      </c>
      <c r="Q50" s="56" t="s">
        <v>164</v>
      </c>
      <c r="R50" s="56">
        <v>216</v>
      </c>
      <c r="S50" s="56" t="s">
        <v>177</v>
      </c>
      <c r="T50" s="56">
        <v>1701</v>
      </c>
      <c r="U50" s="56" t="s">
        <v>183</v>
      </c>
      <c r="V50" s="56">
        <v>1248</v>
      </c>
      <c r="W50" s="56" t="s">
        <v>184</v>
      </c>
      <c r="X50" s="56">
        <v>1134</v>
      </c>
      <c r="Y50" s="56" t="s">
        <v>191</v>
      </c>
      <c r="Z50" s="56">
        <v>1134</v>
      </c>
      <c r="AA50" s="56" t="s">
        <v>192</v>
      </c>
      <c r="AB50" s="56">
        <v>1474</v>
      </c>
      <c r="AC50" s="56" t="s">
        <v>185</v>
      </c>
      <c r="AD50" s="56">
        <v>4537</v>
      </c>
      <c r="AE50" s="56" t="s">
        <v>213</v>
      </c>
      <c r="AF50" s="56">
        <v>567</v>
      </c>
    </row>
    <row r="51" customHeight="1" spans="1:32">
      <c r="A51" s="55" t="s">
        <v>221</v>
      </c>
      <c r="B51" s="55">
        <v>425</v>
      </c>
      <c r="C51" s="55">
        <f t="shared" si="1"/>
        <v>13244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">
        <v>163</v>
      </c>
      <c r="P51" s="56">
        <v>29</v>
      </c>
      <c r="Q51" s="56" t="s">
        <v>164</v>
      </c>
      <c r="R51" s="56">
        <v>216</v>
      </c>
      <c r="S51" s="56" t="s">
        <v>177</v>
      </c>
      <c r="T51" s="56">
        <v>1875</v>
      </c>
      <c r="U51" s="56" t="s">
        <v>183</v>
      </c>
      <c r="V51" s="56">
        <v>1375</v>
      </c>
      <c r="W51" s="56" t="s">
        <v>184</v>
      </c>
      <c r="X51" s="56">
        <v>1250</v>
      </c>
      <c r="Y51" s="56" t="s">
        <v>191</v>
      </c>
      <c r="Z51" s="56">
        <v>1250</v>
      </c>
      <c r="AA51" s="56" t="s">
        <v>192</v>
      </c>
      <c r="AB51" s="56">
        <v>1625</v>
      </c>
      <c r="AC51" s="56" t="s">
        <v>185</v>
      </c>
      <c r="AD51" s="56">
        <v>4999</v>
      </c>
      <c r="AE51" s="56" t="s">
        <v>213</v>
      </c>
      <c r="AF51" s="56">
        <v>625</v>
      </c>
    </row>
    <row r="52" customHeight="1" spans="1:32">
      <c r="A52" s="55" t="s">
        <v>222</v>
      </c>
      <c r="B52" s="55">
        <v>450</v>
      </c>
      <c r="C52" s="55">
        <f t="shared" si="1"/>
        <v>14566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">
        <v>163</v>
      </c>
      <c r="P52" s="56">
        <v>29</v>
      </c>
      <c r="Q52" s="56" t="s">
        <v>164</v>
      </c>
      <c r="R52" s="56">
        <v>216</v>
      </c>
      <c r="S52" s="56" t="s">
        <v>177</v>
      </c>
      <c r="T52" s="56">
        <v>2046</v>
      </c>
      <c r="U52" s="56" t="s">
        <v>183</v>
      </c>
      <c r="V52" s="56">
        <v>1500</v>
      </c>
      <c r="W52" s="56" t="s">
        <v>184</v>
      </c>
      <c r="X52" s="56">
        <v>1364</v>
      </c>
      <c r="Y52" s="56" t="s">
        <v>191</v>
      </c>
      <c r="Z52" s="56">
        <v>1364</v>
      </c>
      <c r="AA52" s="56" t="s">
        <v>192</v>
      </c>
      <c r="AB52" s="56">
        <v>1773</v>
      </c>
      <c r="AC52" s="56" t="s">
        <v>185</v>
      </c>
      <c r="AD52" s="56">
        <v>5456</v>
      </c>
      <c r="AE52" s="56" t="s">
        <v>213</v>
      </c>
      <c r="AF52" s="56">
        <v>818</v>
      </c>
    </row>
    <row r="53" customHeight="1" spans="1:32">
      <c r="A53" s="55" t="s">
        <v>223</v>
      </c>
      <c r="B53" s="55">
        <v>475</v>
      </c>
      <c r="C53" s="55">
        <f t="shared" si="1"/>
        <v>16024</v>
      </c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">
        <v>163</v>
      </c>
      <c r="P53" s="56">
        <v>29</v>
      </c>
      <c r="Q53" s="56" t="s">
        <v>164</v>
      </c>
      <c r="R53" s="56">
        <v>216</v>
      </c>
      <c r="S53" s="56" t="s">
        <v>177</v>
      </c>
      <c r="T53" s="56">
        <v>2254</v>
      </c>
      <c r="U53" s="56" t="s">
        <v>183</v>
      </c>
      <c r="V53" s="56">
        <v>1503</v>
      </c>
      <c r="W53" s="56" t="s">
        <v>184</v>
      </c>
      <c r="X53" s="56">
        <v>1503</v>
      </c>
      <c r="Y53" s="56" t="s">
        <v>191</v>
      </c>
      <c r="Z53" s="56">
        <v>1503</v>
      </c>
      <c r="AA53" s="56" t="s">
        <v>192</v>
      </c>
      <c r="AB53" s="56">
        <v>1953</v>
      </c>
      <c r="AC53" s="56" t="s">
        <v>185</v>
      </c>
      <c r="AD53" s="56">
        <v>6011</v>
      </c>
      <c r="AE53" s="56" t="s">
        <v>213</v>
      </c>
      <c r="AF53" s="56">
        <v>1052</v>
      </c>
    </row>
    <row r="54" customHeight="1" spans="1:32">
      <c r="A54" s="55" t="s">
        <v>224</v>
      </c>
      <c r="B54" s="55">
        <v>500</v>
      </c>
      <c r="C54" s="55">
        <f t="shared" si="1"/>
        <v>17627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">
        <v>163</v>
      </c>
      <c r="P54" s="56">
        <v>29</v>
      </c>
      <c r="Q54" s="56" t="s">
        <v>164</v>
      </c>
      <c r="R54" s="56">
        <v>216</v>
      </c>
      <c r="S54" s="56" t="s">
        <v>177</v>
      </c>
      <c r="T54" s="56">
        <v>2459</v>
      </c>
      <c r="U54" s="56" t="s">
        <v>183</v>
      </c>
      <c r="V54" s="56">
        <v>1640</v>
      </c>
      <c r="W54" s="56" t="s">
        <v>184</v>
      </c>
      <c r="X54" s="56">
        <v>1640</v>
      </c>
      <c r="Y54" s="56" t="s">
        <v>191</v>
      </c>
      <c r="Z54" s="56">
        <v>1640</v>
      </c>
      <c r="AA54" s="56" t="s">
        <v>192</v>
      </c>
      <c r="AB54" s="56">
        <v>1968</v>
      </c>
      <c r="AC54" s="56" t="s">
        <v>185</v>
      </c>
      <c r="AD54" s="56">
        <v>6559</v>
      </c>
      <c r="AE54" s="56" t="s">
        <v>213</v>
      </c>
      <c r="AF54" s="56">
        <v>1476</v>
      </c>
    </row>
    <row r="55" customHeight="1" spans="1:32">
      <c r="A55" s="55" t="s">
        <v>225</v>
      </c>
      <c r="B55" s="55">
        <v>525</v>
      </c>
      <c r="C55" s="55">
        <f t="shared" si="1"/>
        <v>19391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">
        <v>163</v>
      </c>
      <c r="P55" s="56">
        <v>29</v>
      </c>
      <c r="Q55" s="56" t="s">
        <v>164</v>
      </c>
      <c r="R55" s="56">
        <v>216</v>
      </c>
      <c r="S55" s="56" t="s">
        <v>177</v>
      </c>
      <c r="T55" s="56">
        <v>2659</v>
      </c>
      <c r="U55" s="56" t="s">
        <v>183</v>
      </c>
      <c r="V55" s="56">
        <v>1773</v>
      </c>
      <c r="W55" s="56" t="s">
        <v>184</v>
      </c>
      <c r="X55" s="56">
        <v>1773</v>
      </c>
      <c r="Y55" s="56" t="s">
        <v>191</v>
      </c>
      <c r="Z55" s="56">
        <v>1773</v>
      </c>
      <c r="AA55" s="56" t="s">
        <v>192</v>
      </c>
      <c r="AB55" s="56">
        <v>2127</v>
      </c>
      <c r="AC55" s="56" t="s">
        <v>185</v>
      </c>
      <c r="AD55" s="56">
        <v>7091</v>
      </c>
      <c r="AE55" s="56" t="s">
        <v>213</v>
      </c>
      <c r="AF55" s="56">
        <v>1950</v>
      </c>
    </row>
    <row r="56" customHeight="1" spans="1:32">
      <c r="A56" s="55" t="s">
        <v>226</v>
      </c>
      <c r="B56" s="55">
        <v>550</v>
      </c>
      <c r="C56" s="55">
        <f t="shared" si="1"/>
        <v>21331</v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">
        <v>163</v>
      </c>
      <c r="P56" s="56">
        <v>29</v>
      </c>
      <c r="Q56" s="56" t="s">
        <v>164</v>
      </c>
      <c r="R56" s="56">
        <v>216</v>
      </c>
      <c r="S56" s="56" t="s">
        <v>177</v>
      </c>
      <c r="T56" s="56">
        <v>2875</v>
      </c>
      <c r="U56" s="56" t="s">
        <v>183</v>
      </c>
      <c r="V56" s="56">
        <v>1917</v>
      </c>
      <c r="W56" s="56" t="s">
        <v>184</v>
      </c>
      <c r="X56" s="56">
        <v>1917</v>
      </c>
      <c r="Y56" s="56" t="s">
        <v>191</v>
      </c>
      <c r="Z56" s="56">
        <v>1917</v>
      </c>
      <c r="AA56" s="56" t="s">
        <v>192</v>
      </c>
      <c r="AB56" s="56">
        <v>2300</v>
      </c>
      <c r="AC56" s="56" t="s">
        <v>185</v>
      </c>
      <c r="AD56" s="56">
        <v>7668</v>
      </c>
      <c r="AE56" s="56" t="s">
        <v>213</v>
      </c>
      <c r="AF56" s="56">
        <v>2492</v>
      </c>
    </row>
    <row r="57" customHeight="1" spans="1:32">
      <c r="A57" s="55" t="s">
        <v>227</v>
      </c>
      <c r="B57" s="55">
        <v>575</v>
      </c>
      <c r="C57" s="55">
        <f t="shared" si="1"/>
        <v>23465</v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">
        <v>163</v>
      </c>
      <c r="P57" s="56">
        <v>29</v>
      </c>
      <c r="Q57" s="56" t="s">
        <v>164</v>
      </c>
      <c r="R57" s="56">
        <v>216</v>
      </c>
      <c r="S57" s="56" t="s">
        <v>177</v>
      </c>
      <c r="T57" s="56">
        <v>3110</v>
      </c>
      <c r="U57" s="56" t="s">
        <v>183</v>
      </c>
      <c r="V57" s="56">
        <v>2073</v>
      </c>
      <c r="W57" s="56" t="s">
        <v>184</v>
      </c>
      <c r="X57" s="56">
        <v>2073</v>
      </c>
      <c r="Y57" s="56" t="s">
        <v>191</v>
      </c>
      <c r="Z57" s="56">
        <v>2073</v>
      </c>
      <c r="AA57" s="56" t="s">
        <v>192</v>
      </c>
      <c r="AB57" s="56">
        <v>2488</v>
      </c>
      <c r="AC57" s="56" t="s">
        <v>185</v>
      </c>
      <c r="AD57" s="56">
        <v>8293</v>
      </c>
      <c r="AE57" s="56" t="s">
        <v>213</v>
      </c>
      <c r="AF57" s="56">
        <v>3110</v>
      </c>
    </row>
    <row r="58" customHeight="1" spans="1:32">
      <c r="A58" s="57" t="s">
        <v>228</v>
      </c>
      <c r="B58" s="57">
        <v>600</v>
      </c>
      <c r="C58" s="57">
        <f t="shared" si="1"/>
        <v>25810</v>
      </c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">
        <v>163</v>
      </c>
      <c r="P58" s="58">
        <v>29</v>
      </c>
      <c r="Q58" s="58" t="s">
        <v>164</v>
      </c>
      <c r="R58" s="58">
        <v>216</v>
      </c>
      <c r="S58" s="58" t="s">
        <v>177</v>
      </c>
      <c r="T58" s="58">
        <v>3394</v>
      </c>
      <c r="U58" s="58" t="s">
        <v>183</v>
      </c>
      <c r="V58" s="58">
        <v>2262</v>
      </c>
      <c r="W58" s="58" t="s">
        <v>184</v>
      </c>
      <c r="X58" s="58">
        <v>2262</v>
      </c>
      <c r="Y58" s="58" t="s">
        <v>191</v>
      </c>
      <c r="Z58" s="58">
        <v>2262</v>
      </c>
      <c r="AA58" s="58" t="s">
        <v>192</v>
      </c>
      <c r="AB58" s="58">
        <v>2489</v>
      </c>
      <c r="AC58" s="58" t="s">
        <v>185</v>
      </c>
      <c r="AD58" s="58">
        <v>9050</v>
      </c>
      <c r="AE58" s="58" t="s">
        <v>213</v>
      </c>
      <c r="AF58" s="58">
        <v>3846</v>
      </c>
    </row>
    <row r="59" customHeight="1" spans="1:32">
      <c r="A59" s="57" t="s">
        <v>229</v>
      </c>
      <c r="B59" s="57">
        <v>620</v>
      </c>
      <c r="C59" s="57">
        <f t="shared" si="1"/>
        <v>28392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">
        <v>163</v>
      </c>
      <c r="P59" s="58">
        <v>29</v>
      </c>
      <c r="Q59" s="58" t="s">
        <v>164</v>
      </c>
      <c r="R59" s="58">
        <v>216</v>
      </c>
      <c r="S59" s="58" t="s">
        <v>177</v>
      </c>
      <c r="T59" s="58">
        <v>3671</v>
      </c>
      <c r="U59" s="58" t="s">
        <v>183</v>
      </c>
      <c r="V59" s="58">
        <v>2448</v>
      </c>
      <c r="W59" s="58" t="s">
        <v>184</v>
      </c>
      <c r="X59" s="58">
        <v>2448</v>
      </c>
      <c r="Y59" s="58" t="s">
        <v>191</v>
      </c>
      <c r="Z59" s="58">
        <v>2448</v>
      </c>
      <c r="AA59" s="58" t="s">
        <v>192</v>
      </c>
      <c r="AB59" s="58">
        <v>2692</v>
      </c>
      <c r="AC59" s="58" t="s">
        <v>185</v>
      </c>
      <c r="AD59" s="58">
        <v>9790</v>
      </c>
      <c r="AE59" s="58" t="s">
        <v>213</v>
      </c>
      <c r="AF59" s="58">
        <v>4650</v>
      </c>
    </row>
    <row r="60" customHeight="1" spans="1:32">
      <c r="A60" s="57" t="s">
        <v>230</v>
      </c>
      <c r="B60" s="57">
        <v>640</v>
      </c>
      <c r="C60" s="57">
        <f t="shared" si="1"/>
        <v>31231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">
        <v>163</v>
      </c>
      <c r="P60" s="58">
        <v>29</v>
      </c>
      <c r="Q60" s="58" t="s">
        <v>164</v>
      </c>
      <c r="R60" s="58">
        <v>216</v>
      </c>
      <c r="S60" s="58" t="s">
        <v>177</v>
      </c>
      <c r="T60" s="58">
        <v>3973</v>
      </c>
      <c r="U60" s="58" t="s">
        <v>183</v>
      </c>
      <c r="V60" s="58">
        <v>2648</v>
      </c>
      <c r="W60" s="58" t="s">
        <v>184</v>
      </c>
      <c r="X60" s="58">
        <v>2648</v>
      </c>
      <c r="Y60" s="58" t="s">
        <v>191</v>
      </c>
      <c r="Z60" s="58">
        <v>2648</v>
      </c>
      <c r="AA60" s="58" t="s">
        <v>192</v>
      </c>
      <c r="AB60" s="58">
        <v>2913</v>
      </c>
      <c r="AC60" s="58" t="s">
        <v>185</v>
      </c>
      <c r="AD60" s="58">
        <v>10594</v>
      </c>
      <c r="AE60" s="58" t="s">
        <v>213</v>
      </c>
      <c r="AF60" s="58">
        <v>5562</v>
      </c>
    </row>
    <row r="61" customHeight="1" spans="1:32">
      <c r="A61" s="57" t="s">
        <v>231</v>
      </c>
      <c r="B61" s="57">
        <v>660</v>
      </c>
      <c r="C61" s="57">
        <f t="shared" si="1"/>
        <v>34354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">
        <v>163</v>
      </c>
      <c r="P61" s="58">
        <v>29</v>
      </c>
      <c r="Q61" s="58" t="s">
        <v>164</v>
      </c>
      <c r="R61" s="58">
        <v>216</v>
      </c>
      <c r="S61" s="58" t="s">
        <v>177</v>
      </c>
      <c r="T61" s="58">
        <v>4300</v>
      </c>
      <c r="U61" s="58" t="s">
        <v>183</v>
      </c>
      <c r="V61" s="58">
        <v>2866</v>
      </c>
      <c r="W61" s="58" t="s">
        <v>184</v>
      </c>
      <c r="X61" s="58">
        <v>2866</v>
      </c>
      <c r="Y61" s="58" t="s">
        <v>191</v>
      </c>
      <c r="Z61" s="58">
        <v>2866</v>
      </c>
      <c r="AA61" s="58" t="s">
        <v>192</v>
      </c>
      <c r="AB61" s="58">
        <v>3153</v>
      </c>
      <c r="AC61" s="58" t="s">
        <v>185</v>
      </c>
      <c r="AD61" s="58">
        <v>11465</v>
      </c>
      <c r="AE61" s="58" t="s">
        <v>213</v>
      </c>
      <c r="AF61" s="58">
        <v>6593</v>
      </c>
    </row>
    <row r="62" customHeight="1" spans="1:32">
      <c r="A62" s="57" t="s">
        <v>232</v>
      </c>
      <c r="B62" s="57">
        <v>680</v>
      </c>
      <c r="C62" s="57">
        <f t="shared" si="1"/>
        <v>37789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">
        <v>163</v>
      </c>
      <c r="P62" s="58">
        <v>29</v>
      </c>
      <c r="Q62" s="58" t="s">
        <v>164</v>
      </c>
      <c r="R62" s="58">
        <v>216</v>
      </c>
      <c r="S62" s="58" t="s">
        <v>177</v>
      </c>
      <c r="T62" s="58">
        <v>4654</v>
      </c>
      <c r="U62" s="58" t="s">
        <v>183</v>
      </c>
      <c r="V62" s="58">
        <v>3103</v>
      </c>
      <c r="W62" s="58" t="s">
        <v>184</v>
      </c>
      <c r="X62" s="58">
        <v>3103</v>
      </c>
      <c r="Y62" s="58" t="s">
        <v>191</v>
      </c>
      <c r="Z62" s="58">
        <v>3103</v>
      </c>
      <c r="AA62" s="58" t="s">
        <v>192</v>
      </c>
      <c r="AB62" s="58">
        <v>3413</v>
      </c>
      <c r="AC62" s="58" t="s">
        <v>185</v>
      </c>
      <c r="AD62" s="58">
        <v>12411</v>
      </c>
      <c r="AE62" s="58" t="s">
        <v>213</v>
      </c>
      <c r="AF62" s="58">
        <v>7757</v>
      </c>
    </row>
    <row r="63" customHeight="1" spans="1:32">
      <c r="A63" s="57" t="s">
        <v>233</v>
      </c>
      <c r="B63" s="57">
        <v>700</v>
      </c>
      <c r="C63" s="57">
        <f t="shared" si="1"/>
        <v>41566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">
        <v>163</v>
      </c>
      <c r="P63" s="58">
        <v>29</v>
      </c>
      <c r="Q63" s="58" t="s">
        <v>164</v>
      </c>
      <c r="R63" s="58">
        <v>216</v>
      </c>
      <c r="S63" s="58" t="s">
        <v>177</v>
      </c>
      <c r="T63" s="58">
        <v>5080</v>
      </c>
      <c r="U63" s="58" t="s">
        <v>183</v>
      </c>
      <c r="V63" s="58">
        <v>3387</v>
      </c>
      <c r="W63" s="58" t="s">
        <v>184</v>
      </c>
      <c r="X63" s="58">
        <v>3387</v>
      </c>
      <c r="Y63" s="58" t="s">
        <v>191</v>
      </c>
      <c r="Z63" s="58">
        <v>3387</v>
      </c>
      <c r="AA63" s="58" t="s">
        <v>192</v>
      </c>
      <c r="AB63" s="58">
        <v>3387</v>
      </c>
      <c r="AC63" s="58" t="s">
        <v>185</v>
      </c>
      <c r="AD63" s="58">
        <v>13548</v>
      </c>
      <c r="AE63" s="58" t="s">
        <v>213</v>
      </c>
      <c r="AF63" s="58">
        <v>9145</v>
      </c>
    </row>
    <row r="64" customHeight="1" spans="1:32">
      <c r="A64" s="57" t="s">
        <v>234</v>
      </c>
      <c r="B64" s="57">
        <v>720</v>
      </c>
      <c r="C64" s="57">
        <f t="shared" si="1"/>
        <v>45721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">
        <v>163</v>
      </c>
      <c r="P64" s="58">
        <v>29</v>
      </c>
      <c r="Q64" s="58" t="s">
        <v>164</v>
      </c>
      <c r="R64" s="58">
        <v>216</v>
      </c>
      <c r="S64" s="58" t="s">
        <v>177</v>
      </c>
      <c r="T64" s="58">
        <v>5457</v>
      </c>
      <c r="U64" s="58" t="s">
        <v>183</v>
      </c>
      <c r="V64" s="58">
        <v>3638</v>
      </c>
      <c r="W64" s="58" t="s">
        <v>184</v>
      </c>
      <c r="X64" s="58">
        <v>3638</v>
      </c>
      <c r="Y64" s="58" t="s">
        <v>191</v>
      </c>
      <c r="Z64" s="58">
        <v>3638</v>
      </c>
      <c r="AA64" s="58" t="s">
        <v>192</v>
      </c>
      <c r="AB64" s="58">
        <v>3638</v>
      </c>
      <c r="AC64" s="58" t="s">
        <v>185</v>
      </c>
      <c r="AD64" s="58">
        <v>14553</v>
      </c>
      <c r="AE64" s="58" t="s">
        <v>213</v>
      </c>
      <c r="AF64" s="58">
        <v>10914</v>
      </c>
    </row>
    <row r="65" customHeight="1" spans="1:32">
      <c r="A65" s="57" t="s">
        <v>235</v>
      </c>
      <c r="B65" s="57">
        <v>740</v>
      </c>
      <c r="C65" s="57">
        <f t="shared" si="1"/>
        <v>50291</v>
      </c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">
        <v>163</v>
      </c>
      <c r="P65" s="58">
        <v>29</v>
      </c>
      <c r="Q65" s="58" t="s">
        <v>164</v>
      </c>
      <c r="R65" s="58">
        <v>216</v>
      </c>
      <c r="S65" s="58" t="s">
        <v>177</v>
      </c>
      <c r="T65" s="58">
        <v>5958</v>
      </c>
      <c r="U65" s="58" t="s">
        <v>183</v>
      </c>
      <c r="V65" s="58">
        <v>3972</v>
      </c>
      <c r="W65" s="58" t="s">
        <v>184</v>
      </c>
      <c r="X65" s="58">
        <v>3972</v>
      </c>
      <c r="Y65" s="58" t="s">
        <v>191</v>
      </c>
      <c r="Z65" s="58">
        <v>3972</v>
      </c>
      <c r="AA65" s="58" t="s">
        <v>192</v>
      </c>
      <c r="AB65" s="58">
        <v>3972</v>
      </c>
      <c r="AC65" s="58" t="s">
        <v>185</v>
      </c>
      <c r="AD65" s="58">
        <v>15887</v>
      </c>
      <c r="AE65" s="58" t="s">
        <v>213</v>
      </c>
      <c r="AF65" s="58">
        <v>12313</v>
      </c>
    </row>
    <row r="66" customHeight="1" spans="1:32">
      <c r="A66" s="57" t="s">
        <v>236</v>
      </c>
      <c r="B66" s="57">
        <v>760</v>
      </c>
      <c r="C66" s="57">
        <f t="shared" si="1"/>
        <v>55314</v>
      </c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">
        <v>163</v>
      </c>
      <c r="P66" s="58">
        <v>29</v>
      </c>
      <c r="Q66" s="58" t="s">
        <v>164</v>
      </c>
      <c r="R66" s="58">
        <v>216</v>
      </c>
      <c r="S66" s="58" t="s">
        <v>177</v>
      </c>
      <c r="T66" s="58">
        <v>6504</v>
      </c>
      <c r="U66" s="58" t="s">
        <v>183</v>
      </c>
      <c r="V66" s="58">
        <v>4336</v>
      </c>
      <c r="W66" s="58" t="s">
        <v>184</v>
      </c>
      <c r="X66" s="58">
        <v>4336</v>
      </c>
      <c r="Y66" s="58" t="s">
        <v>191</v>
      </c>
      <c r="Z66" s="58">
        <v>4336</v>
      </c>
      <c r="AA66" s="58" t="s">
        <v>192</v>
      </c>
      <c r="AB66" s="58">
        <v>4336</v>
      </c>
      <c r="AC66" s="58" t="s">
        <v>185</v>
      </c>
      <c r="AD66" s="58">
        <v>17345</v>
      </c>
      <c r="AE66" s="58" t="s">
        <v>213</v>
      </c>
      <c r="AF66" s="58">
        <v>13876</v>
      </c>
    </row>
    <row r="67" customHeight="1" spans="1:32">
      <c r="A67" s="57" t="s">
        <v>237</v>
      </c>
      <c r="B67" s="57">
        <v>780</v>
      </c>
      <c r="C67" s="57">
        <f t="shared" si="1"/>
        <v>60842</v>
      </c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">
        <v>163</v>
      </c>
      <c r="P67" s="58">
        <v>29</v>
      </c>
      <c r="Q67" s="58" t="s">
        <v>164</v>
      </c>
      <c r="R67" s="58">
        <v>216</v>
      </c>
      <c r="S67" s="58" t="s">
        <v>177</v>
      </c>
      <c r="T67" s="58">
        <v>7101</v>
      </c>
      <c r="U67" s="58" t="s">
        <v>183</v>
      </c>
      <c r="V67" s="58">
        <v>4734</v>
      </c>
      <c r="W67" s="58" t="s">
        <v>184</v>
      </c>
      <c r="X67" s="58">
        <v>4734</v>
      </c>
      <c r="Y67" s="58" t="s">
        <v>191</v>
      </c>
      <c r="Z67" s="58">
        <v>4734</v>
      </c>
      <c r="AA67" s="58" t="s">
        <v>192</v>
      </c>
      <c r="AB67" s="58">
        <v>4734</v>
      </c>
      <c r="AC67" s="58" t="s">
        <v>185</v>
      </c>
      <c r="AD67" s="58">
        <v>18937</v>
      </c>
      <c r="AE67" s="58" t="s">
        <v>213</v>
      </c>
      <c r="AF67" s="58">
        <v>15623</v>
      </c>
    </row>
    <row r="68" customHeight="1" spans="1:32">
      <c r="A68" s="57" t="s">
        <v>238</v>
      </c>
      <c r="B68" s="57">
        <v>800</v>
      </c>
      <c r="C68" s="57">
        <f t="shared" si="1"/>
        <v>66924</v>
      </c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">
        <v>163</v>
      </c>
      <c r="P68" s="58">
        <v>29</v>
      </c>
      <c r="Q68" s="58" t="s">
        <v>164</v>
      </c>
      <c r="R68" s="58">
        <v>216</v>
      </c>
      <c r="S68" s="58" t="s">
        <v>177</v>
      </c>
      <c r="T68" s="58">
        <v>7753</v>
      </c>
      <c r="U68" s="58" t="s">
        <v>183</v>
      </c>
      <c r="V68" s="58">
        <v>5169</v>
      </c>
      <c r="W68" s="58" t="s">
        <v>184</v>
      </c>
      <c r="X68" s="58">
        <v>5169</v>
      </c>
      <c r="Y68" s="58" t="s">
        <v>191</v>
      </c>
      <c r="Z68" s="58">
        <v>5169</v>
      </c>
      <c r="AA68" s="58" t="s">
        <v>192</v>
      </c>
      <c r="AB68" s="58">
        <v>5169</v>
      </c>
      <c r="AC68" s="58" t="s">
        <v>185</v>
      </c>
      <c r="AD68" s="58">
        <v>20676</v>
      </c>
      <c r="AE68" s="58" t="s">
        <v>213</v>
      </c>
      <c r="AF68" s="58">
        <v>17574</v>
      </c>
    </row>
    <row r="69" customHeight="1" spans="1:32">
      <c r="A69" s="57" t="s">
        <v>239</v>
      </c>
      <c r="B69" s="57">
        <v>820</v>
      </c>
      <c r="C69" s="57">
        <f t="shared" ref="C69:C102" si="2">SUM(F69:AF69)</f>
        <v>73614</v>
      </c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">
        <v>163</v>
      </c>
      <c r="P69" s="58">
        <v>29</v>
      </c>
      <c r="Q69" s="58" t="s">
        <v>164</v>
      </c>
      <c r="R69" s="58">
        <v>216</v>
      </c>
      <c r="S69" s="58" t="s">
        <v>177</v>
      </c>
      <c r="T69" s="58">
        <v>8465</v>
      </c>
      <c r="U69" s="58" t="s">
        <v>183</v>
      </c>
      <c r="V69" s="58">
        <v>5644</v>
      </c>
      <c r="W69" s="58" t="s">
        <v>184</v>
      </c>
      <c r="X69" s="58">
        <v>5644</v>
      </c>
      <c r="Y69" s="58" t="s">
        <v>191</v>
      </c>
      <c r="Z69" s="58">
        <v>5644</v>
      </c>
      <c r="AA69" s="58" t="s">
        <v>192</v>
      </c>
      <c r="AB69" s="58">
        <v>5644</v>
      </c>
      <c r="AC69" s="58" t="s">
        <v>185</v>
      </c>
      <c r="AD69" s="58">
        <v>22575</v>
      </c>
      <c r="AE69" s="58" t="s">
        <v>213</v>
      </c>
      <c r="AF69" s="58">
        <v>19753</v>
      </c>
    </row>
    <row r="70" customHeight="1" spans="1:32">
      <c r="A70" s="57" t="s">
        <v>240</v>
      </c>
      <c r="B70" s="57">
        <v>840</v>
      </c>
      <c r="C70" s="57">
        <f t="shared" si="2"/>
        <v>80969</v>
      </c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">
        <v>163</v>
      </c>
      <c r="P70" s="58">
        <v>29</v>
      </c>
      <c r="Q70" s="58" t="s">
        <v>164</v>
      </c>
      <c r="R70" s="58">
        <v>216</v>
      </c>
      <c r="S70" s="58" t="s">
        <v>177</v>
      </c>
      <c r="T70" s="58">
        <v>9243</v>
      </c>
      <c r="U70" s="58" t="s">
        <v>183</v>
      </c>
      <c r="V70" s="58">
        <v>6162</v>
      </c>
      <c r="W70" s="58" t="s">
        <v>184</v>
      </c>
      <c r="X70" s="58">
        <v>6162</v>
      </c>
      <c r="Y70" s="58" t="s">
        <v>191</v>
      </c>
      <c r="Z70" s="58">
        <v>6162</v>
      </c>
      <c r="AA70" s="58" t="s">
        <v>192</v>
      </c>
      <c r="AB70" s="58">
        <v>6162</v>
      </c>
      <c r="AC70" s="58" t="s">
        <v>185</v>
      </c>
      <c r="AD70" s="58">
        <v>24649</v>
      </c>
      <c r="AE70" s="58" t="s">
        <v>213</v>
      </c>
      <c r="AF70" s="58">
        <v>22184</v>
      </c>
    </row>
    <row r="71" customHeight="1" spans="1:32">
      <c r="A71" s="57" t="s">
        <v>241</v>
      </c>
      <c r="B71" s="57">
        <v>860</v>
      </c>
      <c r="C71" s="57">
        <f t="shared" si="2"/>
        <v>89064</v>
      </c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">
        <v>163</v>
      </c>
      <c r="P71" s="58">
        <v>29</v>
      </c>
      <c r="Q71" s="58" t="s">
        <v>164</v>
      </c>
      <c r="R71" s="58">
        <v>216</v>
      </c>
      <c r="S71" s="58" t="s">
        <v>177</v>
      </c>
      <c r="T71" s="58">
        <v>10093</v>
      </c>
      <c r="U71" s="58" t="s">
        <v>183</v>
      </c>
      <c r="V71" s="58">
        <v>6729</v>
      </c>
      <c r="W71" s="58" t="s">
        <v>184</v>
      </c>
      <c r="X71" s="58">
        <v>6729</v>
      </c>
      <c r="Y71" s="58" t="s">
        <v>191</v>
      </c>
      <c r="Z71" s="58">
        <v>6729</v>
      </c>
      <c r="AA71" s="58" t="s">
        <v>192</v>
      </c>
      <c r="AB71" s="58">
        <v>6729</v>
      </c>
      <c r="AC71" s="58" t="s">
        <v>185</v>
      </c>
      <c r="AD71" s="58">
        <v>26914</v>
      </c>
      <c r="AE71" s="58" t="s">
        <v>213</v>
      </c>
      <c r="AF71" s="58">
        <v>24896</v>
      </c>
    </row>
    <row r="72" customHeight="1" spans="1:32">
      <c r="A72" s="57" t="s">
        <v>242</v>
      </c>
      <c r="B72" s="57">
        <v>880</v>
      </c>
      <c r="C72" s="57">
        <f t="shared" si="2"/>
        <v>97963</v>
      </c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">
        <v>163</v>
      </c>
      <c r="P72" s="58">
        <v>29</v>
      </c>
      <c r="Q72" s="58" t="s">
        <v>164</v>
      </c>
      <c r="R72" s="58">
        <v>216</v>
      </c>
      <c r="S72" s="58" t="s">
        <v>177</v>
      </c>
      <c r="T72" s="58">
        <v>11021</v>
      </c>
      <c r="U72" s="58" t="s">
        <v>183</v>
      </c>
      <c r="V72" s="58">
        <v>7347</v>
      </c>
      <c r="W72" s="58" t="s">
        <v>184</v>
      </c>
      <c r="X72" s="58">
        <v>7347</v>
      </c>
      <c r="Y72" s="58" t="s">
        <v>191</v>
      </c>
      <c r="Z72" s="58">
        <v>7347</v>
      </c>
      <c r="AA72" s="58" t="s">
        <v>192</v>
      </c>
      <c r="AB72" s="58">
        <v>7347</v>
      </c>
      <c r="AC72" s="58" t="s">
        <v>185</v>
      </c>
      <c r="AD72" s="58">
        <v>29389</v>
      </c>
      <c r="AE72" s="58" t="s">
        <v>213</v>
      </c>
      <c r="AF72" s="58">
        <v>27920</v>
      </c>
    </row>
    <row r="73" customHeight="1" spans="1:32">
      <c r="A73" s="57" t="s">
        <v>243</v>
      </c>
      <c r="B73" s="57">
        <v>900</v>
      </c>
      <c r="C73" s="57">
        <f t="shared" si="2"/>
        <v>107757</v>
      </c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">
        <v>163</v>
      </c>
      <c r="P73" s="58">
        <v>29</v>
      </c>
      <c r="Q73" s="58" t="s">
        <v>164</v>
      </c>
      <c r="R73" s="58">
        <v>216</v>
      </c>
      <c r="S73" s="58" t="s">
        <v>177</v>
      </c>
      <c r="T73" s="58">
        <v>11946</v>
      </c>
      <c r="U73" s="58" t="s">
        <v>183</v>
      </c>
      <c r="V73" s="58">
        <v>7964</v>
      </c>
      <c r="W73" s="58" t="s">
        <v>184</v>
      </c>
      <c r="X73" s="58">
        <v>7964</v>
      </c>
      <c r="Y73" s="58" t="s">
        <v>191</v>
      </c>
      <c r="Z73" s="58">
        <v>7964</v>
      </c>
      <c r="AA73" s="58" t="s">
        <v>192</v>
      </c>
      <c r="AB73" s="58">
        <v>7964</v>
      </c>
      <c r="AC73" s="58" t="s">
        <v>185</v>
      </c>
      <c r="AD73" s="58">
        <v>31855</v>
      </c>
      <c r="AE73" s="58" t="s">
        <v>213</v>
      </c>
      <c r="AF73" s="58">
        <v>31855</v>
      </c>
    </row>
    <row r="74" customHeight="1" spans="1:32">
      <c r="A74" s="57" t="s">
        <v>244</v>
      </c>
      <c r="B74" s="57">
        <v>920</v>
      </c>
      <c r="C74" s="57">
        <f t="shared" si="2"/>
        <v>118527</v>
      </c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">
        <v>163</v>
      </c>
      <c r="P74" s="58">
        <v>29</v>
      </c>
      <c r="Q74" s="58" t="s">
        <v>164</v>
      </c>
      <c r="R74" s="58">
        <v>216</v>
      </c>
      <c r="S74" s="58" t="s">
        <v>177</v>
      </c>
      <c r="T74" s="58">
        <v>13142</v>
      </c>
      <c r="U74" s="58" t="s">
        <v>183</v>
      </c>
      <c r="V74" s="58">
        <v>8762</v>
      </c>
      <c r="W74" s="58" t="s">
        <v>184</v>
      </c>
      <c r="X74" s="58">
        <v>8762</v>
      </c>
      <c r="Y74" s="58" t="s">
        <v>191</v>
      </c>
      <c r="Z74" s="58">
        <v>8762</v>
      </c>
      <c r="AA74" s="58" t="s">
        <v>192</v>
      </c>
      <c r="AB74" s="58">
        <v>8762</v>
      </c>
      <c r="AC74" s="58" t="s">
        <v>185</v>
      </c>
      <c r="AD74" s="58">
        <v>35046</v>
      </c>
      <c r="AE74" s="58" t="s">
        <v>213</v>
      </c>
      <c r="AF74" s="58">
        <v>35046</v>
      </c>
    </row>
    <row r="75" customHeight="1" spans="1:32">
      <c r="A75" s="57" t="s">
        <v>245</v>
      </c>
      <c r="B75" s="57">
        <v>940</v>
      </c>
      <c r="C75" s="57">
        <f t="shared" si="2"/>
        <v>130372</v>
      </c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">
        <v>163</v>
      </c>
      <c r="P75" s="58">
        <v>29</v>
      </c>
      <c r="Q75" s="58" t="s">
        <v>164</v>
      </c>
      <c r="R75" s="58">
        <v>216</v>
      </c>
      <c r="S75" s="58" t="s">
        <v>177</v>
      </c>
      <c r="T75" s="58">
        <v>14459</v>
      </c>
      <c r="U75" s="58" t="s">
        <v>183</v>
      </c>
      <c r="V75" s="58">
        <v>9639</v>
      </c>
      <c r="W75" s="58" t="s">
        <v>184</v>
      </c>
      <c r="X75" s="58">
        <v>9639</v>
      </c>
      <c r="Y75" s="58" t="s">
        <v>191</v>
      </c>
      <c r="Z75" s="58">
        <v>9639</v>
      </c>
      <c r="AA75" s="58" t="s">
        <v>192</v>
      </c>
      <c r="AB75" s="58">
        <v>9639</v>
      </c>
      <c r="AC75" s="58" t="s">
        <v>185</v>
      </c>
      <c r="AD75" s="58">
        <v>38556</v>
      </c>
      <c r="AE75" s="58" t="s">
        <v>213</v>
      </c>
      <c r="AF75" s="58">
        <v>38556</v>
      </c>
    </row>
    <row r="76" customHeight="1" spans="1:32">
      <c r="A76" s="57" t="s">
        <v>246</v>
      </c>
      <c r="B76" s="57">
        <v>960</v>
      </c>
      <c r="C76" s="57">
        <f t="shared" si="2"/>
        <v>143401</v>
      </c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">
        <v>163</v>
      </c>
      <c r="P76" s="58">
        <v>29</v>
      </c>
      <c r="Q76" s="58" t="s">
        <v>164</v>
      </c>
      <c r="R76" s="58">
        <v>216</v>
      </c>
      <c r="S76" s="58" t="s">
        <v>177</v>
      </c>
      <c r="T76" s="58">
        <v>15906</v>
      </c>
      <c r="U76" s="58" t="s">
        <v>183</v>
      </c>
      <c r="V76" s="58">
        <v>10604</v>
      </c>
      <c r="W76" s="58" t="s">
        <v>184</v>
      </c>
      <c r="X76" s="58">
        <v>10604</v>
      </c>
      <c r="Y76" s="58" t="s">
        <v>191</v>
      </c>
      <c r="Z76" s="58">
        <v>10604</v>
      </c>
      <c r="AA76" s="58" t="s">
        <v>192</v>
      </c>
      <c r="AB76" s="58">
        <v>10604</v>
      </c>
      <c r="AC76" s="58" t="s">
        <v>185</v>
      </c>
      <c r="AD76" s="58">
        <v>42417</v>
      </c>
      <c r="AE76" s="58" t="s">
        <v>213</v>
      </c>
      <c r="AF76" s="58">
        <v>42417</v>
      </c>
    </row>
    <row r="77" customHeight="1" spans="1:32">
      <c r="A77" s="57" t="s">
        <v>247</v>
      </c>
      <c r="B77" s="57">
        <v>980</v>
      </c>
      <c r="C77" s="57">
        <f t="shared" si="2"/>
        <v>157736</v>
      </c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">
        <v>163</v>
      </c>
      <c r="P77" s="58">
        <v>29</v>
      </c>
      <c r="Q77" s="58" t="s">
        <v>164</v>
      </c>
      <c r="R77" s="58">
        <v>216</v>
      </c>
      <c r="S77" s="58" t="s">
        <v>177</v>
      </c>
      <c r="T77" s="58">
        <v>17499</v>
      </c>
      <c r="U77" s="58" t="s">
        <v>183</v>
      </c>
      <c r="V77" s="58">
        <v>11666</v>
      </c>
      <c r="W77" s="58" t="s">
        <v>184</v>
      </c>
      <c r="X77" s="58">
        <v>11666</v>
      </c>
      <c r="Y77" s="58" t="s">
        <v>191</v>
      </c>
      <c r="Z77" s="58">
        <v>11666</v>
      </c>
      <c r="AA77" s="58" t="s">
        <v>192</v>
      </c>
      <c r="AB77" s="58">
        <v>11666</v>
      </c>
      <c r="AC77" s="58" t="s">
        <v>185</v>
      </c>
      <c r="AD77" s="58">
        <v>46664</v>
      </c>
      <c r="AE77" s="58" t="s">
        <v>213</v>
      </c>
      <c r="AF77" s="58">
        <v>46664</v>
      </c>
    </row>
    <row r="78" customHeight="1" spans="1:32">
      <c r="A78" s="57" t="s">
        <v>248</v>
      </c>
      <c r="B78" s="57">
        <v>1000</v>
      </c>
      <c r="C78" s="57">
        <f t="shared" si="2"/>
        <v>173504</v>
      </c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">
        <v>163</v>
      </c>
      <c r="P78" s="58">
        <v>29</v>
      </c>
      <c r="Q78" s="58" t="s">
        <v>164</v>
      </c>
      <c r="R78" s="58">
        <v>216</v>
      </c>
      <c r="S78" s="58" t="s">
        <v>177</v>
      </c>
      <c r="T78" s="58">
        <v>19251</v>
      </c>
      <c r="U78" s="58" t="s">
        <v>183</v>
      </c>
      <c r="V78" s="58">
        <v>12834</v>
      </c>
      <c r="W78" s="58" t="s">
        <v>184</v>
      </c>
      <c r="X78" s="58">
        <v>12834</v>
      </c>
      <c r="Y78" s="58" t="s">
        <v>191</v>
      </c>
      <c r="Z78" s="58">
        <v>12834</v>
      </c>
      <c r="AA78" s="58" t="s">
        <v>192</v>
      </c>
      <c r="AB78" s="58">
        <v>12834</v>
      </c>
      <c r="AC78" s="58" t="s">
        <v>185</v>
      </c>
      <c r="AD78" s="58">
        <v>51336</v>
      </c>
      <c r="AE78" s="58" t="s">
        <v>213</v>
      </c>
      <c r="AF78" s="58">
        <v>51336</v>
      </c>
    </row>
    <row r="79" customHeight="1" spans="1:32">
      <c r="A79" s="57" t="s">
        <v>249</v>
      </c>
      <c r="B79" s="57">
        <v>1020</v>
      </c>
      <c r="C79" s="57">
        <f t="shared" si="2"/>
        <v>190849</v>
      </c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">
        <v>163</v>
      </c>
      <c r="P79" s="58">
        <v>29</v>
      </c>
      <c r="Q79" s="58" t="s">
        <v>164</v>
      </c>
      <c r="R79" s="58">
        <v>216</v>
      </c>
      <c r="S79" s="58" t="s">
        <v>177</v>
      </c>
      <c r="T79" s="58">
        <v>21178</v>
      </c>
      <c r="U79" s="58" t="s">
        <v>183</v>
      </c>
      <c r="V79" s="58">
        <v>14119</v>
      </c>
      <c r="W79" s="58" t="s">
        <v>184</v>
      </c>
      <c r="X79" s="58">
        <v>14119</v>
      </c>
      <c r="Y79" s="58" t="s">
        <v>191</v>
      </c>
      <c r="Z79" s="58">
        <v>14119</v>
      </c>
      <c r="AA79" s="58" t="s">
        <v>192</v>
      </c>
      <c r="AB79" s="58">
        <v>14119</v>
      </c>
      <c r="AC79" s="58" t="s">
        <v>185</v>
      </c>
      <c r="AD79" s="58">
        <v>56475</v>
      </c>
      <c r="AE79" s="58" t="s">
        <v>213</v>
      </c>
      <c r="AF79" s="58">
        <v>56475</v>
      </c>
    </row>
    <row r="80" customHeight="1" spans="1:32">
      <c r="A80" s="57" t="s">
        <v>250</v>
      </c>
      <c r="B80" s="57">
        <v>1040</v>
      </c>
      <c r="C80" s="57">
        <f t="shared" si="2"/>
        <v>209927</v>
      </c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">
        <v>163</v>
      </c>
      <c r="P80" s="58">
        <v>29</v>
      </c>
      <c r="Q80" s="58" t="s">
        <v>164</v>
      </c>
      <c r="R80" s="58">
        <v>216</v>
      </c>
      <c r="S80" s="58" t="s">
        <v>177</v>
      </c>
      <c r="T80" s="58">
        <v>23298</v>
      </c>
      <c r="U80" s="58" t="s">
        <v>183</v>
      </c>
      <c r="V80" s="58">
        <v>15532</v>
      </c>
      <c r="W80" s="58" t="s">
        <v>184</v>
      </c>
      <c r="X80" s="58">
        <v>15532</v>
      </c>
      <c r="Y80" s="58" t="s">
        <v>191</v>
      </c>
      <c r="Z80" s="58">
        <v>15532</v>
      </c>
      <c r="AA80" s="58" t="s">
        <v>192</v>
      </c>
      <c r="AB80" s="58">
        <v>15532</v>
      </c>
      <c r="AC80" s="58" t="s">
        <v>185</v>
      </c>
      <c r="AD80" s="58">
        <v>62128</v>
      </c>
      <c r="AE80" s="58" t="s">
        <v>213</v>
      </c>
      <c r="AF80" s="58">
        <v>62128</v>
      </c>
    </row>
    <row r="81" customHeight="1" spans="1:32">
      <c r="A81" s="57" t="s">
        <v>251</v>
      </c>
      <c r="B81" s="57">
        <v>1060</v>
      </c>
      <c r="C81" s="57">
        <f t="shared" si="2"/>
        <v>230911</v>
      </c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">
        <v>163</v>
      </c>
      <c r="P81" s="58">
        <v>29</v>
      </c>
      <c r="Q81" s="58" t="s">
        <v>164</v>
      </c>
      <c r="R81" s="58">
        <v>216</v>
      </c>
      <c r="S81" s="58" t="s">
        <v>177</v>
      </c>
      <c r="T81" s="58">
        <v>25630</v>
      </c>
      <c r="U81" s="58" t="s">
        <v>183</v>
      </c>
      <c r="V81" s="58">
        <v>17086</v>
      </c>
      <c r="W81" s="58" t="s">
        <v>184</v>
      </c>
      <c r="X81" s="58">
        <v>17086</v>
      </c>
      <c r="Y81" s="58" t="s">
        <v>191</v>
      </c>
      <c r="Z81" s="58">
        <v>17086</v>
      </c>
      <c r="AA81" s="58" t="s">
        <v>192</v>
      </c>
      <c r="AB81" s="58">
        <v>17086</v>
      </c>
      <c r="AC81" s="58" t="s">
        <v>185</v>
      </c>
      <c r="AD81" s="58">
        <v>68346</v>
      </c>
      <c r="AE81" s="58" t="s">
        <v>213</v>
      </c>
      <c r="AF81" s="58">
        <v>68346</v>
      </c>
    </row>
    <row r="82" customHeight="1" spans="1:32">
      <c r="A82" s="57" t="s">
        <v>252</v>
      </c>
      <c r="B82" s="57">
        <v>1080</v>
      </c>
      <c r="C82" s="57">
        <f t="shared" si="2"/>
        <v>253996</v>
      </c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">
        <v>163</v>
      </c>
      <c r="P82" s="58">
        <v>29</v>
      </c>
      <c r="Q82" s="58" t="s">
        <v>164</v>
      </c>
      <c r="R82" s="58">
        <v>216</v>
      </c>
      <c r="S82" s="58" t="s">
        <v>177</v>
      </c>
      <c r="T82" s="58">
        <v>28195</v>
      </c>
      <c r="U82" s="58" t="s">
        <v>183</v>
      </c>
      <c r="V82" s="58">
        <v>18796</v>
      </c>
      <c r="W82" s="58" t="s">
        <v>184</v>
      </c>
      <c r="X82" s="58">
        <v>18796</v>
      </c>
      <c r="Y82" s="58" t="s">
        <v>191</v>
      </c>
      <c r="Z82" s="58">
        <v>18796</v>
      </c>
      <c r="AA82" s="58" t="s">
        <v>192</v>
      </c>
      <c r="AB82" s="58">
        <v>18796</v>
      </c>
      <c r="AC82" s="58" t="s">
        <v>185</v>
      </c>
      <c r="AD82" s="58">
        <v>75186</v>
      </c>
      <c r="AE82" s="58" t="s">
        <v>213</v>
      </c>
      <c r="AF82" s="58">
        <v>75186</v>
      </c>
    </row>
    <row r="83" customHeight="1" spans="1:32">
      <c r="A83" s="57" t="s">
        <v>253</v>
      </c>
      <c r="B83" s="57">
        <v>1100</v>
      </c>
      <c r="C83" s="57">
        <f t="shared" si="2"/>
        <v>279389</v>
      </c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">
        <v>163</v>
      </c>
      <c r="P83" s="58">
        <v>29</v>
      </c>
      <c r="Q83" s="58" t="s">
        <v>164</v>
      </c>
      <c r="R83" s="58">
        <v>216</v>
      </c>
      <c r="S83" s="58" t="s">
        <v>177</v>
      </c>
      <c r="T83" s="58">
        <v>31016</v>
      </c>
      <c r="U83" s="58" t="s">
        <v>183</v>
      </c>
      <c r="V83" s="58">
        <v>20677</v>
      </c>
      <c r="W83" s="58" t="s">
        <v>184</v>
      </c>
      <c r="X83" s="58">
        <v>20677</v>
      </c>
      <c r="Y83" s="58" t="s">
        <v>191</v>
      </c>
      <c r="Z83" s="58">
        <v>20677</v>
      </c>
      <c r="AA83" s="58" t="s">
        <v>192</v>
      </c>
      <c r="AB83" s="58">
        <v>20677</v>
      </c>
      <c r="AC83" s="58" t="s">
        <v>185</v>
      </c>
      <c r="AD83" s="58">
        <v>82710</v>
      </c>
      <c r="AE83" s="58" t="s">
        <v>213</v>
      </c>
      <c r="AF83" s="58">
        <v>82710</v>
      </c>
    </row>
    <row r="84" customHeight="1" spans="1:32">
      <c r="A84" s="57" t="s">
        <v>254</v>
      </c>
      <c r="B84" s="57">
        <v>1120</v>
      </c>
      <c r="C84" s="57">
        <f t="shared" si="2"/>
        <v>307325</v>
      </c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">
        <v>163</v>
      </c>
      <c r="P84" s="58">
        <v>29</v>
      </c>
      <c r="Q84" s="58" t="s">
        <v>164</v>
      </c>
      <c r="R84" s="58">
        <v>216</v>
      </c>
      <c r="S84" s="58" t="s">
        <v>177</v>
      </c>
      <c r="T84" s="58">
        <v>34120</v>
      </c>
      <c r="U84" s="58" t="s">
        <v>183</v>
      </c>
      <c r="V84" s="58">
        <v>22747</v>
      </c>
      <c r="W84" s="58" t="s">
        <v>184</v>
      </c>
      <c r="X84" s="58">
        <v>22747</v>
      </c>
      <c r="Y84" s="58" t="s">
        <v>191</v>
      </c>
      <c r="Z84" s="58">
        <v>22747</v>
      </c>
      <c r="AA84" s="58" t="s">
        <v>192</v>
      </c>
      <c r="AB84" s="58">
        <v>22747</v>
      </c>
      <c r="AC84" s="58" t="s">
        <v>185</v>
      </c>
      <c r="AD84" s="58">
        <v>90986</v>
      </c>
      <c r="AE84" s="58" t="s">
        <v>213</v>
      </c>
      <c r="AF84" s="58">
        <v>90986</v>
      </c>
    </row>
    <row r="85" customHeight="1" spans="1:32">
      <c r="A85" s="57" t="s">
        <v>255</v>
      </c>
      <c r="B85" s="57">
        <v>1140</v>
      </c>
      <c r="C85" s="57">
        <f t="shared" si="2"/>
        <v>338051</v>
      </c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">
        <v>163</v>
      </c>
      <c r="P85" s="58">
        <v>29</v>
      </c>
      <c r="Q85" s="58" t="s">
        <v>164</v>
      </c>
      <c r="R85" s="58">
        <v>216</v>
      </c>
      <c r="S85" s="58" t="s">
        <v>177</v>
      </c>
      <c r="T85" s="58">
        <v>37534</v>
      </c>
      <c r="U85" s="58" t="s">
        <v>183</v>
      </c>
      <c r="V85" s="58">
        <v>25023</v>
      </c>
      <c r="W85" s="58" t="s">
        <v>184</v>
      </c>
      <c r="X85" s="58">
        <v>25023</v>
      </c>
      <c r="Y85" s="58" t="s">
        <v>191</v>
      </c>
      <c r="Z85" s="58">
        <v>25023</v>
      </c>
      <c r="AA85" s="58" t="s">
        <v>192</v>
      </c>
      <c r="AB85" s="58">
        <v>25023</v>
      </c>
      <c r="AC85" s="58" t="s">
        <v>185</v>
      </c>
      <c r="AD85" s="58">
        <v>100090</v>
      </c>
      <c r="AE85" s="58" t="s">
        <v>213</v>
      </c>
      <c r="AF85" s="58">
        <v>100090</v>
      </c>
    </row>
    <row r="86" customHeight="1" spans="1:32">
      <c r="A86" s="57" t="s">
        <v>256</v>
      </c>
      <c r="B86" s="57">
        <v>1160</v>
      </c>
      <c r="C86" s="57">
        <f t="shared" si="2"/>
        <v>371848</v>
      </c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">
        <v>163</v>
      </c>
      <c r="P86" s="58">
        <v>29</v>
      </c>
      <c r="Q86" s="58" t="s">
        <v>164</v>
      </c>
      <c r="R86" s="58">
        <v>216</v>
      </c>
      <c r="S86" s="58" t="s">
        <v>177</v>
      </c>
      <c r="T86" s="58">
        <v>41289</v>
      </c>
      <c r="U86" s="58" t="s">
        <v>183</v>
      </c>
      <c r="V86" s="58">
        <v>27526</v>
      </c>
      <c r="W86" s="58" t="s">
        <v>184</v>
      </c>
      <c r="X86" s="58">
        <v>27526</v>
      </c>
      <c r="Y86" s="58" t="s">
        <v>191</v>
      </c>
      <c r="Z86" s="58">
        <v>27526</v>
      </c>
      <c r="AA86" s="58" t="s">
        <v>192</v>
      </c>
      <c r="AB86" s="58">
        <v>27526</v>
      </c>
      <c r="AC86" s="58" t="s">
        <v>185</v>
      </c>
      <c r="AD86" s="58">
        <v>110105</v>
      </c>
      <c r="AE86" s="58" t="s">
        <v>213</v>
      </c>
      <c r="AF86" s="58">
        <v>110105</v>
      </c>
    </row>
    <row r="87" customHeight="1" spans="1:32">
      <c r="A87" s="57" t="s">
        <v>257</v>
      </c>
      <c r="B87" s="57">
        <v>1180</v>
      </c>
      <c r="C87" s="57">
        <f t="shared" si="2"/>
        <v>409025</v>
      </c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">
        <v>163</v>
      </c>
      <c r="P87" s="58">
        <v>29</v>
      </c>
      <c r="Q87" s="58" t="s">
        <v>164</v>
      </c>
      <c r="R87" s="58">
        <v>216</v>
      </c>
      <c r="S87" s="58" t="s">
        <v>177</v>
      </c>
      <c r="T87" s="58">
        <v>45420</v>
      </c>
      <c r="U87" s="58" t="s">
        <v>183</v>
      </c>
      <c r="V87" s="58">
        <v>30280</v>
      </c>
      <c r="W87" s="58" t="s">
        <v>184</v>
      </c>
      <c r="X87" s="58">
        <v>30280</v>
      </c>
      <c r="Y87" s="58" t="s">
        <v>191</v>
      </c>
      <c r="Z87" s="58">
        <v>30280</v>
      </c>
      <c r="AA87" s="58" t="s">
        <v>192</v>
      </c>
      <c r="AB87" s="58">
        <v>30280</v>
      </c>
      <c r="AC87" s="58" t="s">
        <v>185</v>
      </c>
      <c r="AD87" s="58">
        <v>121120</v>
      </c>
      <c r="AE87" s="58" t="s">
        <v>213</v>
      </c>
      <c r="AF87" s="58">
        <v>121120</v>
      </c>
    </row>
    <row r="88" customHeight="1" spans="1:32">
      <c r="A88" s="57" t="s">
        <v>258</v>
      </c>
      <c r="B88" s="57">
        <v>1200</v>
      </c>
      <c r="C88" s="57">
        <f t="shared" si="2"/>
        <v>449921</v>
      </c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">
        <v>163</v>
      </c>
      <c r="P88" s="58">
        <v>29</v>
      </c>
      <c r="Q88" s="58" t="s">
        <v>164</v>
      </c>
      <c r="R88" s="58">
        <v>216</v>
      </c>
      <c r="S88" s="58" t="s">
        <v>177</v>
      </c>
      <c r="T88" s="58">
        <v>49964</v>
      </c>
      <c r="U88" s="58" t="s">
        <v>183</v>
      </c>
      <c r="V88" s="58">
        <v>33309</v>
      </c>
      <c r="W88" s="58" t="s">
        <v>184</v>
      </c>
      <c r="X88" s="58">
        <v>33309</v>
      </c>
      <c r="Y88" s="58" t="s">
        <v>191</v>
      </c>
      <c r="Z88" s="58">
        <v>33309</v>
      </c>
      <c r="AA88" s="58" t="s">
        <v>192</v>
      </c>
      <c r="AB88" s="58">
        <v>33309</v>
      </c>
      <c r="AC88" s="58" t="s">
        <v>185</v>
      </c>
      <c r="AD88" s="58">
        <v>133238</v>
      </c>
      <c r="AE88" s="58" t="s">
        <v>213</v>
      </c>
      <c r="AF88" s="58">
        <v>133238</v>
      </c>
    </row>
    <row r="89" customHeight="1" spans="1:32">
      <c r="A89" s="57" t="s">
        <v>259</v>
      </c>
      <c r="B89" s="57">
        <v>1220</v>
      </c>
      <c r="C89" s="57">
        <f t="shared" si="2"/>
        <v>494910</v>
      </c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">
        <v>163</v>
      </c>
      <c r="P89" s="58">
        <v>29</v>
      </c>
      <c r="Q89" s="58" t="s">
        <v>164</v>
      </c>
      <c r="R89" s="58">
        <v>216</v>
      </c>
      <c r="S89" s="58" t="s">
        <v>177</v>
      </c>
      <c r="T89" s="58">
        <v>54963</v>
      </c>
      <c r="U89" s="58" t="s">
        <v>183</v>
      </c>
      <c r="V89" s="58">
        <v>36642</v>
      </c>
      <c r="W89" s="58" t="s">
        <v>184</v>
      </c>
      <c r="X89" s="58">
        <v>36642</v>
      </c>
      <c r="Y89" s="58" t="s">
        <v>191</v>
      </c>
      <c r="Z89" s="58">
        <v>36642</v>
      </c>
      <c r="AA89" s="58" t="s">
        <v>192</v>
      </c>
      <c r="AB89" s="58">
        <v>36642</v>
      </c>
      <c r="AC89" s="58" t="s">
        <v>185</v>
      </c>
      <c r="AD89" s="58">
        <v>146567</v>
      </c>
      <c r="AE89" s="58" t="s">
        <v>213</v>
      </c>
      <c r="AF89" s="58">
        <v>146567</v>
      </c>
    </row>
    <row r="90" customHeight="1" spans="1:32">
      <c r="A90" s="57" t="s">
        <v>260</v>
      </c>
      <c r="B90" s="57">
        <v>1240</v>
      </c>
      <c r="C90" s="57">
        <f t="shared" si="2"/>
        <v>544392</v>
      </c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">
        <v>163</v>
      </c>
      <c r="P90" s="58">
        <v>29</v>
      </c>
      <c r="Q90" s="58" t="s">
        <v>164</v>
      </c>
      <c r="R90" s="58">
        <v>216</v>
      </c>
      <c r="S90" s="58" t="s">
        <v>177</v>
      </c>
      <c r="T90" s="58">
        <v>60461</v>
      </c>
      <c r="U90" s="58" t="s">
        <v>183</v>
      </c>
      <c r="V90" s="58">
        <v>40307</v>
      </c>
      <c r="W90" s="58" t="s">
        <v>184</v>
      </c>
      <c r="X90" s="58">
        <v>40307</v>
      </c>
      <c r="Y90" s="58" t="s">
        <v>191</v>
      </c>
      <c r="Z90" s="58">
        <v>40307</v>
      </c>
      <c r="AA90" s="58" t="s">
        <v>192</v>
      </c>
      <c r="AB90" s="58">
        <v>40307</v>
      </c>
      <c r="AC90" s="58" t="s">
        <v>185</v>
      </c>
      <c r="AD90" s="58">
        <v>161229</v>
      </c>
      <c r="AE90" s="58" t="s">
        <v>213</v>
      </c>
      <c r="AF90" s="58">
        <v>161229</v>
      </c>
    </row>
    <row r="91" customHeight="1" spans="1:32">
      <c r="A91" s="57" t="s">
        <v>261</v>
      </c>
      <c r="B91" s="57">
        <v>1260</v>
      </c>
      <c r="C91" s="57">
        <f t="shared" si="2"/>
        <v>598824</v>
      </c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">
        <v>163</v>
      </c>
      <c r="P91" s="58">
        <v>29</v>
      </c>
      <c r="Q91" s="58" t="s">
        <v>164</v>
      </c>
      <c r="R91" s="58">
        <v>216</v>
      </c>
      <c r="S91" s="58" t="s">
        <v>177</v>
      </c>
      <c r="T91" s="58">
        <v>66509</v>
      </c>
      <c r="U91" s="58" t="s">
        <v>183</v>
      </c>
      <c r="V91" s="58">
        <v>44339</v>
      </c>
      <c r="W91" s="58" t="s">
        <v>184</v>
      </c>
      <c r="X91" s="58">
        <v>44339</v>
      </c>
      <c r="Y91" s="58" t="s">
        <v>191</v>
      </c>
      <c r="Z91" s="58">
        <v>44339</v>
      </c>
      <c r="AA91" s="58" t="s">
        <v>192</v>
      </c>
      <c r="AB91" s="58">
        <v>44339</v>
      </c>
      <c r="AC91" s="58" t="s">
        <v>185</v>
      </c>
      <c r="AD91" s="58">
        <v>177357</v>
      </c>
      <c r="AE91" s="58" t="s">
        <v>213</v>
      </c>
      <c r="AF91" s="58">
        <v>177357</v>
      </c>
    </row>
    <row r="92" customHeight="1" spans="1:32">
      <c r="A92" s="57" t="s">
        <v>262</v>
      </c>
      <c r="B92" s="57">
        <v>1280</v>
      </c>
      <c r="C92" s="57">
        <f t="shared" si="2"/>
        <v>658705</v>
      </c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">
        <v>163</v>
      </c>
      <c r="P92" s="58">
        <v>29</v>
      </c>
      <c r="Q92" s="58" t="s">
        <v>164</v>
      </c>
      <c r="R92" s="58">
        <v>216</v>
      </c>
      <c r="S92" s="58" t="s">
        <v>177</v>
      </c>
      <c r="T92" s="58">
        <v>73162</v>
      </c>
      <c r="U92" s="58" t="s">
        <v>183</v>
      </c>
      <c r="V92" s="58">
        <v>48775</v>
      </c>
      <c r="W92" s="58" t="s">
        <v>184</v>
      </c>
      <c r="X92" s="58">
        <v>48775</v>
      </c>
      <c r="Y92" s="58" t="s">
        <v>191</v>
      </c>
      <c r="Z92" s="58">
        <v>48775</v>
      </c>
      <c r="AA92" s="58" t="s">
        <v>192</v>
      </c>
      <c r="AB92" s="58">
        <v>48775</v>
      </c>
      <c r="AC92" s="58" t="s">
        <v>185</v>
      </c>
      <c r="AD92" s="58">
        <v>195099</v>
      </c>
      <c r="AE92" s="58" t="s">
        <v>213</v>
      </c>
      <c r="AF92" s="58">
        <v>195099</v>
      </c>
    </row>
    <row r="93" customHeight="1" spans="1:32">
      <c r="A93" s="57" t="s">
        <v>263</v>
      </c>
      <c r="B93" s="57">
        <v>1300</v>
      </c>
      <c r="C93" s="57">
        <f t="shared" si="2"/>
        <v>724565</v>
      </c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">
        <v>163</v>
      </c>
      <c r="P93" s="58">
        <v>29</v>
      </c>
      <c r="Q93" s="58" t="s">
        <v>164</v>
      </c>
      <c r="R93" s="58">
        <v>216</v>
      </c>
      <c r="S93" s="58" t="s">
        <v>177</v>
      </c>
      <c r="T93" s="58">
        <v>80480</v>
      </c>
      <c r="U93" s="58" t="s">
        <v>183</v>
      </c>
      <c r="V93" s="58">
        <v>53653</v>
      </c>
      <c r="W93" s="58" t="s">
        <v>184</v>
      </c>
      <c r="X93" s="58">
        <v>53653</v>
      </c>
      <c r="Y93" s="58" t="s">
        <v>191</v>
      </c>
      <c r="Z93" s="58">
        <v>53653</v>
      </c>
      <c r="AA93" s="58" t="s">
        <v>192</v>
      </c>
      <c r="AB93" s="58">
        <v>53653</v>
      </c>
      <c r="AC93" s="58" t="s">
        <v>185</v>
      </c>
      <c r="AD93" s="58">
        <v>214614</v>
      </c>
      <c r="AE93" s="58" t="s">
        <v>213</v>
      </c>
      <c r="AF93" s="58">
        <v>214614</v>
      </c>
    </row>
    <row r="94" customHeight="1" spans="1:32">
      <c r="A94" s="57" t="s">
        <v>264</v>
      </c>
      <c r="B94" s="57">
        <v>1320</v>
      </c>
      <c r="C94" s="57">
        <f t="shared" si="2"/>
        <v>797017</v>
      </c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">
        <v>163</v>
      </c>
      <c r="P94" s="58">
        <v>29</v>
      </c>
      <c r="Q94" s="58" t="s">
        <v>164</v>
      </c>
      <c r="R94" s="58">
        <v>216</v>
      </c>
      <c r="S94" s="58" t="s">
        <v>177</v>
      </c>
      <c r="T94" s="58">
        <v>88530</v>
      </c>
      <c r="U94" s="58" t="s">
        <v>183</v>
      </c>
      <c r="V94" s="58">
        <v>59020</v>
      </c>
      <c r="W94" s="58" t="s">
        <v>184</v>
      </c>
      <c r="X94" s="58">
        <v>59020</v>
      </c>
      <c r="Y94" s="58" t="s">
        <v>191</v>
      </c>
      <c r="Z94" s="58">
        <v>59020</v>
      </c>
      <c r="AA94" s="58" t="s">
        <v>192</v>
      </c>
      <c r="AB94" s="58">
        <v>59020</v>
      </c>
      <c r="AC94" s="58" t="s">
        <v>185</v>
      </c>
      <c r="AD94" s="58">
        <v>236081</v>
      </c>
      <c r="AE94" s="58" t="s">
        <v>213</v>
      </c>
      <c r="AF94" s="58">
        <v>236081</v>
      </c>
    </row>
    <row r="95" customHeight="1" spans="1:32">
      <c r="A95" s="57" t="s">
        <v>265</v>
      </c>
      <c r="B95" s="57">
        <v>1340</v>
      </c>
      <c r="C95" s="57">
        <f t="shared" si="2"/>
        <v>876710</v>
      </c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">
        <v>163</v>
      </c>
      <c r="P95" s="58">
        <v>29</v>
      </c>
      <c r="Q95" s="58" t="s">
        <v>164</v>
      </c>
      <c r="R95" s="58">
        <v>216</v>
      </c>
      <c r="S95" s="58" t="s">
        <v>177</v>
      </c>
      <c r="T95" s="58">
        <v>97385</v>
      </c>
      <c r="U95" s="58" t="s">
        <v>183</v>
      </c>
      <c r="V95" s="58">
        <v>64923</v>
      </c>
      <c r="W95" s="58" t="s">
        <v>184</v>
      </c>
      <c r="X95" s="58">
        <v>64923</v>
      </c>
      <c r="Y95" s="58" t="s">
        <v>191</v>
      </c>
      <c r="Z95" s="58">
        <v>64923</v>
      </c>
      <c r="AA95" s="58" t="s">
        <v>192</v>
      </c>
      <c r="AB95" s="58">
        <v>64923</v>
      </c>
      <c r="AC95" s="58" t="s">
        <v>185</v>
      </c>
      <c r="AD95" s="58">
        <v>259694</v>
      </c>
      <c r="AE95" s="58" t="s">
        <v>213</v>
      </c>
      <c r="AF95" s="58">
        <v>259694</v>
      </c>
    </row>
    <row r="96" customHeight="1" spans="1:32">
      <c r="A96" s="57" t="s">
        <v>266</v>
      </c>
      <c r="B96" s="57">
        <v>1360</v>
      </c>
      <c r="C96" s="57">
        <f t="shared" si="2"/>
        <v>964377</v>
      </c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">
        <v>163</v>
      </c>
      <c r="P96" s="58">
        <v>29</v>
      </c>
      <c r="Q96" s="58" t="s">
        <v>164</v>
      </c>
      <c r="R96" s="58">
        <v>216</v>
      </c>
      <c r="S96" s="58" t="s">
        <v>177</v>
      </c>
      <c r="T96" s="58">
        <v>107126</v>
      </c>
      <c r="U96" s="58" t="s">
        <v>183</v>
      </c>
      <c r="V96" s="58">
        <v>71417</v>
      </c>
      <c r="W96" s="58" t="s">
        <v>184</v>
      </c>
      <c r="X96" s="58">
        <v>71417</v>
      </c>
      <c r="Y96" s="58" t="s">
        <v>191</v>
      </c>
      <c r="Z96" s="58">
        <v>71417</v>
      </c>
      <c r="AA96" s="58" t="s">
        <v>192</v>
      </c>
      <c r="AB96" s="58">
        <v>71417</v>
      </c>
      <c r="AC96" s="58" t="s">
        <v>185</v>
      </c>
      <c r="AD96" s="58">
        <v>285669</v>
      </c>
      <c r="AE96" s="58" t="s">
        <v>213</v>
      </c>
      <c r="AF96" s="58">
        <v>285669</v>
      </c>
    </row>
    <row r="97" customHeight="1" spans="1:32">
      <c r="A97" s="57" t="s">
        <v>267</v>
      </c>
      <c r="B97" s="57">
        <v>1380</v>
      </c>
      <c r="C97" s="57">
        <f t="shared" si="2"/>
        <v>1060807</v>
      </c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">
        <v>163</v>
      </c>
      <c r="P97" s="58">
        <v>29</v>
      </c>
      <c r="Q97" s="58" t="s">
        <v>164</v>
      </c>
      <c r="R97" s="58">
        <v>216</v>
      </c>
      <c r="S97" s="58" t="s">
        <v>177</v>
      </c>
      <c r="T97" s="58">
        <v>117840</v>
      </c>
      <c r="U97" s="58" t="s">
        <v>183</v>
      </c>
      <c r="V97" s="58">
        <v>78560</v>
      </c>
      <c r="W97" s="58" t="s">
        <v>184</v>
      </c>
      <c r="X97" s="58">
        <v>78560</v>
      </c>
      <c r="Y97" s="58" t="s">
        <v>191</v>
      </c>
      <c r="Z97" s="58">
        <v>78560</v>
      </c>
      <c r="AA97" s="58" t="s">
        <v>192</v>
      </c>
      <c r="AB97" s="58">
        <v>78560</v>
      </c>
      <c r="AC97" s="58" t="s">
        <v>185</v>
      </c>
      <c r="AD97" s="58">
        <v>314241</v>
      </c>
      <c r="AE97" s="58" t="s">
        <v>213</v>
      </c>
      <c r="AF97" s="58">
        <v>314241</v>
      </c>
    </row>
    <row r="98" customHeight="1" spans="1:32">
      <c r="A98" s="57" t="s">
        <v>268</v>
      </c>
      <c r="B98" s="57">
        <v>1400</v>
      </c>
      <c r="C98" s="57">
        <f t="shared" si="2"/>
        <v>1166883</v>
      </c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">
        <v>163</v>
      </c>
      <c r="P98" s="58">
        <v>29</v>
      </c>
      <c r="Q98" s="58" t="s">
        <v>164</v>
      </c>
      <c r="R98" s="58">
        <v>216</v>
      </c>
      <c r="S98" s="58" t="s">
        <v>177</v>
      </c>
      <c r="T98" s="58">
        <v>129626</v>
      </c>
      <c r="U98" s="58" t="s">
        <v>183</v>
      </c>
      <c r="V98" s="58">
        <v>86418</v>
      </c>
      <c r="W98" s="58" t="s">
        <v>184</v>
      </c>
      <c r="X98" s="58">
        <v>86418</v>
      </c>
      <c r="Y98" s="58" t="s">
        <v>191</v>
      </c>
      <c r="Z98" s="58">
        <v>86418</v>
      </c>
      <c r="AA98" s="58" t="s">
        <v>192</v>
      </c>
      <c r="AB98" s="58">
        <v>86418</v>
      </c>
      <c r="AC98" s="58" t="s">
        <v>185</v>
      </c>
      <c r="AD98" s="58">
        <v>345670</v>
      </c>
      <c r="AE98" s="58" t="s">
        <v>213</v>
      </c>
      <c r="AF98" s="58">
        <v>345670</v>
      </c>
    </row>
    <row r="99" customHeight="1" spans="1:32">
      <c r="A99" s="57" t="s">
        <v>269</v>
      </c>
      <c r="B99" s="57">
        <v>1420</v>
      </c>
      <c r="C99" s="57">
        <f t="shared" si="2"/>
        <v>1283566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">
        <v>163</v>
      </c>
      <c r="P99" s="58">
        <v>29</v>
      </c>
      <c r="Q99" s="58" t="s">
        <v>164</v>
      </c>
      <c r="R99" s="58">
        <v>216</v>
      </c>
      <c r="S99" s="58" t="s">
        <v>177</v>
      </c>
      <c r="T99" s="58">
        <v>142591</v>
      </c>
      <c r="U99" s="58" t="s">
        <v>183</v>
      </c>
      <c r="V99" s="58">
        <v>95061</v>
      </c>
      <c r="W99" s="58" t="s">
        <v>184</v>
      </c>
      <c r="X99" s="58">
        <v>95061</v>
      </c>
      <c r="Y99" s="58" t="s">
        <v>191</v>
      </c>
      <c r="Z99" s="58">
        <v>95061</v>
      </c>
      <c r="AA99" s="58" t="s">
        <v>192</v>
      </c>
      <c r="AB99" s="58">
        <v>95061</v>
      </c>
      <c r="AC99" s="58" t="s">
        <v>185</v>
      </c>
      <c r="AD99" s="58">
        <v>380243</v>
      </c>
      <c r="AE99" s="58" t="s">
        <v>213</v>
      </c>
      <c r="AF99" s="58">
        <v>380243</v>
      </c>
    </row>
    <row r="100" customHeight="1" spans="1:32">
      <c r="A100" s="57" t="s">
        <v>270</v>
      </c>
      <c r="B100" s="57">
        <v>1440</v>
      </c>
      <c r="C100" s="57">
        <f t="shared" si="2"/>
        <v>1411915</v>
      </c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">
        <v>163</v>
      </c>
      <c r="P100" s="58">
        <v>29</v>
      </c>
      <c r="Q100" s="58" t="s">
        <v>164</v>
      </c>
      <c r="R100" s="58">
        <v>216</v>
      </c>
      <c r="S100" s="58" t="s">
        <v>177</v>
      </c>
      <c r="T100" s="58">
        <v>156852</v>
      </c>
      <c r="U100" s="58" t="s">
        <v>183</v>
      </c>
      <c r="V100" s="58">
        <v>104568</v>
      </c>
      <c r="W100" s="58" t="s">
        <v>184</v>
      </c>
      <c r="X100" s="58">
        <v>104568</v>
      </c>
      <c r="Y100" s="58" t="s">
        <v>191</v>
      </c>
      <c r="Z100" s="58">
        <v>104568</v>
      </c>
      <c r="AA100" s="58" t="s">
        <v>192</v>
      </c>
      <c r="AB100" s="58">
        <v>104568</v>
      </c>
      <c r="AC100" s="58" t="s">
        <v>185</v>
      </c>
      <c r="AD100" s="58">
        <v>418273</v>
      </c>
      <c r="AE100" s="58" t="s">
        <v>213</v>
      </c>
      <c r="AF100" s="58">
        <v>418273</v>
      </c>
    </row>
    <row r="101" customHeight="1" spans="1:32">
      <c r="A101" s="57" t="s">
        <v>271</v>
      </c>
      <c r="B101" s="57">
        <v>1460</v>
      </c>
      <c r="C101" s="57">
        <f t="shared" si="2"/>
        <v>1553098</v>
      </c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">
        <v>163</v>
      </c>
      <c r="P101" s="58">
        <v>29</v>
      </c>
      <c r="Q101" s="58" t="s">
        <v>164</v>
      </c>
      <c r="R101" s="58">
        <v>216</v>
      </c>
      <c r="S101" s="58" t="s">
        <v>177</v>
      </c>
      <c r="T101" s="58">
        <v>172539</v>
      </c>
      <c r="U101" s="58" t="s">
        <v>183</v>
      </c>
      <c r="V101" s="58">
        <v>115026</v>
      </c>
      <c r="W101" s="58" t="s">
        <v>184</v>
      </c>
      <c r="X101" s="58">
        <v>115026</v>
      </c>
      <c r="Y101" s="58" t="s">
        <v>191</v>
      </c>
      <c r="Z101" s="58">
        <v>115026</v>
      </c>
      <c r="AA101" s="58" t="s">
        <v>192</v>
      </c>
      <c r="AB101" s="58">
        <v>115026</v>
      </c>
      <c r="AC101" s="58" t="s">
        <v>185</v>
      </c>
      <c r="AD101" s="58">
        <v>460105</v>
      </c>
      <c r="AE101" s="58" t="s">
        <v>213</v>
      </c>
      <c r="AF101" s="58">
        <v>460105</v>
      </c>
    </row>
    <row r="102" customHeight="1" spans="1:32">
      <c r="A102" s="57" t="s">
        <v>272</v>
      </c>
      <c r="B102" s="57">
        <v>1480</v>
      </c>
      <c r="C102" s="57">
        <f t="shared" si="2"/>
        <v>1708402</v>
      </c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">
        <v>163</v>
      </c>
      <c r="P102" s="58">
        <v>29</v>
      </c>
      <c r="Q102" s="58" t="s">
        <v>164</v>
      </c>
      <c r="R102" s="58">
        <v>216</v>
      </c>
      <c r="S102" s="58" t="s">
        <v>177</v>
      </c>
      <c r="T102" s="58">
        <v>189795</v>
      </c>
      <c r="U102" s="58" t="s">
        <v>183</v>
      </c>
      <c r="V102" s="58">
        <v>126530</v>
      </c>
      <c r="W102" s="58" t="s">
        <v>184</v>
      </c>
      <c r="X102" s="58">
        <v>126530</v>
      </c>
      <c r="Y102" s="58" t="s">
        <v>191</v>
      </c>
      <c r="Z102" s="58">
        <v>126530</v>
      </c>
      <c r="AA102" s="58" t="s">
        <v>192</v>
      </c>
      <c r="AB102" s="58">
        <v>126530</v>
      </c>
      <c r="AC102" s="58" t="s">
        <v>185</v>
      </c>
      <c r="AD102" s="58">
        <v>506121</v>
      </c>
      <c r="AE102" s="58" t="s">
        <v>213</v>
      </c>
      <c r="AF102" s="58">
        <v>506121</v>
      </c>
    </row>
  </sheetData>
  <conditionalFormatting sqref="C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outlineLevelCol="6"/>
  <cols>
    <col min="1" max="1" width="19" customWidth="1"/>
    <col min="2" max="2" width="9.66666666666667" customWidth="1"/>
    <col min="3" max="3" width="14.6666666666667" customWidth="1"/>
    <col min="4" max="4" width="18.25" customWidth="1"/>
    <col min="5" max="5" width="14.6666666666667" customWidth="1"/>
    <col min="6" max="6" width="9.88333333333333" customWidth="1"/>
    <col min="7" max="7" width="14.6666666666667" customWidth="1"/>
    <col min="8" max="8" width="13.125" customWidth="1"/>
    <col min="9" max="9" width="11.775" customWidth="1"/>
  </cols>
  <sheetData>
    <row r="1" ht="38" customHeight="1" spans="1:3">
      <c r="A1" s="32" t="s">
        <v>273</v>
      </c>
      <c r="B1" s="33"/>
      <c r="C1" s="34"/>
    </row>
    <row r="2" ht="21" customHeight="1" spans="1:7">
      <c r="A2" s="35"/>
      <c r="B2" s="35"/>
      <c r="C2" s="36"/>
      <c r="D2" s="37"/>
      <c r="E2" s="37"/>
      <c r="F2" s="37"/>
      <c r="G2" s="37"/>
    </row>
    <row r="3" customHeight="1" spans="1:7">
      <c r="A3" s="38" t="s">
        <v>274</v>
      </c>
      <c r="B3" s="37" t="s">
        <v>275</v>
      </c>
      <c r="C3" s="39" t="s">
        <v>276</v>
      </c>
      <c r="D3" s="37" t="s">
        <v>277</v>
      </c>
      <c r="E3" s="38" t="s">
        <v>278</v>
      </c>
      <c r="F3" s="38" t="s">
        <v>279</v>
      </c>
      <c r="G3" s="38" t="s">
        <v>280</v>
      </c>
    </row>
    <row r="4" customHeight="1" spans="1:7">
      <c r="A4" s="2" t="s">
        <v>281</v>
      </c>
      <c r="B4" s="2" t="s">
        <v>282</v>
      </c>
      <c r="C4">
        <v>20</v>
      </c>
      <c r="D4">
        <f t="shared" ref="D4:D16" si="0">G4*F4/$F$15</f>
        <v>0.442</v>
      </c>
      <c r="E4">
        <f>VLOOKUP("wealth_"&amp;C4,buy_packages!$A$4:$C$102,3,FALSE)</f>
        <v>934</v>
      </c>
      <c r="F4">
        <v>20</v>
      </c>
      <c r="G4">
        <v>0.0221</v>
      </c>
    </row>
    <row r="5" customHeight="1" spans="1:7">
      <c r="A5" s="2" t="s">
        <v>283</v>
      </c>
      <c r="B5" s="2" t="s">
        <v>282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0.0221</v>
      </c>
    </row>
    <row r="6" customHeight="1" spans="1:7">
      <c r="A6" s="2" t="s">
        <v>284</v>
      </c>
      <c r="B6" s="2" t="s">
        <v>282</v>
      </c>
      <c r="C6">
        <v>20</v>
      </c>
      <c r="D6">
        <f t="shared" si="0"/>
        <v>0.3978</v>
      </c>
      <c r="E6">
        <f>VLOOKUP("wealth_"&amp;C6,buy_packages!$A$4:$C$102,3,FALSE)</f>
        <v>934</v>
      </c>
      <c r="F6">
        <v>18</v>
      </c>
      <c r="G6">
        <v>0.0221</v>
      </c>
    </row>
    <row r="7" customHeight="1" spans="1:7">
      <c r="A7" s="2" t="s">
        <v>285</v>
      </c>
      <c r="B7" s="2" t="s">
        <v>286</v>
      </c>
      <c r="C7">
        <v>10</v>
      </c>
      <c r="D7">
        <f t="shared" si="0"/>
        <v>0.0663</v>
      </c>
      <c r="E7">
        <f>VLOOKUP("wealth_"&amp;C7,buy_packages!$A$4:$C$102,3,FALSE)</f>
        <v>354</v>
      </c>
      <c r="F7">
        <v>3</v>
      </c>
      <c r="G7">
        <v>0.0221</v>
      </c>
    </row>
    <row r="8" customHeight="1" spans="1:7">
      <c r="A8" s="2" t="s">
        <v>287</v>
      </c>
      <c r="B8" s="2" t="s">
        <v>286</v>
      </c>
      <c r="C8">
        <v>10</v>
      </c>
      <c r="D8">
        <f t="shared" si="0"/>
        <v>0.0663</v>
      </c>
      <c r="E8">
        <f>VLOOKUP("wealth_"&amp;C8,buy_packages!$A$4:$C$102,3,FALSE)</f>
        <v>354</v>
      </c>
      <c r="F8">
        <v>3</v>
      </c>
      <c r="G8">
        <v>0.0221</v>
      </c>
    </row>
    <row r="9" customHeight="1" spans="1:7">
      <c r="A9" s="2" t="s">
        <v>288</v>
      </c>
      <c r="B9" s="2" t="s">
        <v>286</v>
      </c>
      <c r="C9">
        <v>10</v>
      </c>
      <c r="D9">
        <f t="shared" si="0"/>
        <v>0.0663</v>
      </c>
      <c r="E9">
        <f>VLOOKUP("wealth_"&amp;C9,buy_packages!$A$4:$C$102,3,FALSE)</f>
        <v>354</v>
      </c>
      <c r="F9">
        <v>3</v>
      </c>
      <c r="G9">
        <v>0.0221</v>
      </c>
    </row>
    <row r="10" customHeight="1" spans="1:7">
      <c r="A10" s="2" t="s">
        <v>289</v>
      </c>
      <c r="B10" s="2" t="s">
        <v>286</v>
      </c>
      <c r="C10">
        <v>10</v>
      </c>
      <c r="D10">
        <f t="shared" si="0"/>
        <v>0.0884</v>
      </c>
      <c r="E10">
        <f>VLOOKUP("wealth_"&amp;C10,buy_packages!$A$4:$C$102,3,FALSE)</f>
        <v>354</v>
      </c>
      <c r="F10">
        <v>4</v>
      </c>
      <c r="G10">
        <v>0.0221</v>
      </c>
    </row>
    <row r="11" customHeight="1" spans="1:7">
      <c r="A11" s="2" t="s">
        <v>290</v>
      </c>
      <c r="B11" s="2" t="s">
        <v>286</v>
      </c>
      <c r="C11">
        <v>10</v>
      </c>
      <c r="D11">
        <f t="shared" si="0"/>
        <v>0.1105</v>
      </c>
      <c r="E11">
        <f>VLOOKUP("wealth_"&amp;C11,buy_packages!$A$4:$C$102,3,FALSE)</f>
        <v>354</v>
      </c>
      <c r="F11">
        <v>5</v>
      </c>
      <c r="G11">
        <v>0.0221</v>
      </c>
    </row>
    <row r="12" customHeight="1" spans="1:7">
      <c r="A12" s="2" t="s">
        <v>291</v>
      </c>
      <c r="B12" s="2" t="s">
        <v>286</v>
      </c>
      <c r="C12">
        <v>10</v>
      </c>
      <c r="D12">
        <f t="shared" si="0"/>
        <v>0.0663</v>
      </c>
      <c r="E12">
        <f>VLOOKUP("wealth_"&amp;C12,buy_packages!$A$4:$C$102,3,FALSE)</f>
        <v>354</v>
      </c>
      <c r="F12">
        <v>3</v>
      </c>
      <c r="G12">
        <v>0.0221</v>
      </c>
    </row>
    <row r="13" customHeight="1" spans="1:7">
      <c r="A13" s="2" t="s">
        <v>292</v>
      </c>
      <c r="B13" s="2" t="s">
        <v>293</v>
      </c>
      <c r="C13">
        <v>7</v>
      </c>
      <c r="D13">
        <f t="shared" si="0"/>
        <v>0.0442</v>
      </c>
      <c r="E13">
        <f>VLOOKUP("wealth_"&amp;C13,buy_packages!$A$4:$C$102,3,FALSE)</f>
        <v>263</v>
      </c>
      <c r="F13">
        <v>2</v>
      </c>
      <c r="G13">
        <v>0.0221</v>
      </c>
    </row>
    <row r="14" customHeight="1" spans="1:7">
      <c r="A14" s="2" t="s">
        <v>294</v>
      </c>
      <c r="B14" s="2" t="s">
        <v>293</v>
      </c>
      <c r="C14">
        <v>5</v>
      </c>
      <c r="D14">
        <f t="shared" si="0"/>
        <v>0.00442</v>
      </c>
      <c r="E14">
        <f>VLOOKUP("wealth_"&amp;C14,buy_packages!$A$4:$C$102,3,FALSE)</f>
        <v>221</v>
      </c>
      <c r="F14">
        <v>0.2</v>
      </c>
      <c r="G14">
        <v>0.0221</v>
      </c>
    </row>
    <row r="15" customHeight="1" spans="1:7">
      <c r="A15" s="2" t="s">
        <v>295</v>
      </c>
      <c r="B15" s="2" t="s">
        <v>293</v>
      </c>
      <c r="C15">
        <v>5</v>
      </c>
      <c r="D15">
        <f t="shared" si="0"/>
        <v>0.0221</v>
      </c>
      <c r="E15">
        <f>VLOOKUP("wealth_"&amp;C15,buy_packages!$A$4:$C$102,3,FALSE)</f>
        <v>221</v>
      </c>
      <c r="F15">
        <v>1</v>
      </c>
      <c r="G15">
        <v>0.0221</v>
      </c>
    </row>
    <row r="16" customHeight="1" spans="1:7">
      <c r="A16" s="2" t="s">
        <v>296</v>
      </c>
      <c r="B16" s="2" t="s">
        <v>293</v>
      </c>
      <c r="C16">
        <v>1</v>
      </c>
      <c r="D16">
        <f t="shared" si="0"/>
        <v>0</v>
      </c>
      <c r="E16">
        <f>VLOOKUP("wealth_"&amp;C16,buy_packages!$A$4:$C$102,3,FALSE)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E43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B7" sqref="B7"/>
    </sheetView>
  </sheetViews>
  <sheetFormatPr defaultColWidth="9" defaultRowHeight="20" customHeight="1"/>
  <cols>
    <col min="1" max="1" width="24.75" customWidth="1"/>
    <col min="2" max="2" width="17.875" customWidth="1"/>
    <col min="3" max="3" width="27.875" customWidth="1"/>
    <col min="4" max="4" width="8.875" customWidth="1"/>
    <col min="5" max="11" width="7" customWidth="1"/>
    <col min="12" max="12" width="32.875" customWidth="1"/>
    <col min="13" max="14" width="9.875" customWidth="1"/>
    <col min="15" max="15" width="8.875" customWidth="1"/>
    <col min="16" max="16" width="12.25" customWidth="1"/>
    <col min="17" max="17" width="12.875" customWidth="1"/>
    <col min="18" max="18" width="15.375" customWidth="1"/>
    <col min="19" max="19" width="16.625" customWidth="1"/>
    <col min="20" max="20" width="11.625" customWidth="1"/>
    <col min="21" max="21" width="10.375" customWidth="1"/>
    <col min="22" max="22" width="61.5" customWidth="1"/>
    <col min="23" max="23" width="22.875" customWidth="1"/>
    <col min="24" max="24" width="26.625" customWidth="1"/>
    <col min="25" max="25" width="21.625" customWidth="1"/>
    <col min="26" max="26" width="35.375" customWidth="1"/>
    <col min="27" max="27" width="26.625" customWidth="1"/>
    <col min="28" max="28" width="12.25" customWidth="1"/>
    <col min="29" max="29" width="31.625" customWidth="1"/>
    <col min="30" max="33" width="9.875" customWidth="1"/>
    <col min="34" max="34" width="24.125" customWidth="1"/>
    <col min="35" max="35" width="27.875" customWidth="1"/>
    <col min="36" max="38" width="12.25" customWidth="1"/>
    <col min="39" max="39" width="24.125" customWidth="1"/>
    <col min="40" max="40" width="14.125" customWidth="1"/>
    <col min="41" max="41" width="25.375" customWidth="1"/>
    <col min="42" max="42" width="24.125" customWidth="1"/>
    <col min="43" max="43" width="24" customWidth="1"/>
    <col min="44" max="44" width="32.875" customWidth="1"/>
    <col min="45" max="45" width="31.625" customWidth="1"/>
    <col min="46" max="46" width="29.125" customWidth="1"/>
    <col min="47" max="47" width="12.875" customWidth="1"/>
    <col min="48" max="48" width="7" customWidth="1"/>
    <col min="49" max="49" width="32.875" customWidth="1"/>
    <col min="50" max="50" width="7" customWidth="1"/>
    <col min="51" max="51" width="36.625" customWidth="1"/>
    <col min="52" max="52" width="7" customWidth="1"/>
    <col min="53" max="53" width="27.875" customWidth="1"/>
    <col min="54" max="54" width="7" customWidth="1"/>
    <col min="55" max="55" width="12.25" customWidth="1"/>
  </cols>
  <sheetData>
    <row r="1" customHeight="1" spans="1:57">
      <c r="A1" s="26" t="s">
        <v>297</v>
      </c>
      <c r="B1" s="27" t="s">
        <v>44</v>
      </c>
      <c r="C1" s="28" t="s">
        <v>44</v>
      </c>
      <c r="D1" s="29" t="s">
        <v>44</v>
      </c>
      <c r="E1" s="24"/>
      <c r="F1" s="24"/>
      <c r="G1" s="24"/>
      <c r="H1" s="24"/>
      <c r="I1" s="24"/>
      <c r="J1" s="24"/>
      <c r="K1" s="24"/>
      <c r="L1" s="24"/>
      <c r="M1" s="24"/>
      <c r="N1" s="24"/>
      <c r="R1" s="24"/>
      <c r="S1" s="24"/>
      <c r="T1" s="24"/>
      <c r="U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</row>
    <row r="2" ht="39" customHeight="1" spans="1:57">
      <c r="A2" s="7" t="s">
        <v>45</v>
      </c>
      <c r="B2" s="7" t="s">
        <v>298</v>
      </c>
      <c r="C2" s="30" t="s">
        <v>299</v>
      </c>
      <c r="D2" s="30" t="s">
        <v>20</v>
      </c>
      <c r="E2" s="30" t="s">
        <v>20</v>
      </c>
      <c r="F2" s="30" t="s">
        <v>20</v>
      </c>
      <c r="G2" s="30" t="s">
        <v>20</v>
      </c>
      <c r="H2" s="30" t="s">
        <v>20</v>
      </c>
      <c r="I2" s="30" t="s">
        <v>20</v>
      </c>
      <c r="J2" s="30" t="s">
        <v>20</v>
      </c>
      <c r="K2" s="30" t="s">
        <v>20</v>
      </c>
      <c r="L2" s="31" t="s">
        <v>300</v>
      </c>
      <c r="M2" s="31" t="s">
        <v>20</v>
      </c>
      <c r="N2" s="31" t="s">
        <v>20</v>
      </c>
      <c r="O2" s="7" t="s">
        <v>301</v>
      </c>
      <c r="P2" s="7" t="s">
        <v>302</v>
      </c>
      <c r="Q2" s="7" t="s">
        <v>303</v>
      </c>
      <c r="R2" s="7" t="s">
        <v>304</v>
      </c>
      <c r="S2" s="7" t="s">
        <v>305</v>
      </c>
      <c r="T2" s="7" t="s">
        <v>306</v>
      </c>
      <c r="U2" s="7" t="s">
        <v>307</v>
      </c>
      <c r="V2" s="7" t="s">
        <v>53</v>
      </c>
      <c r="W2" s="7" t="s">
        <v>308</v>
      </c>
      <c r="X2" s="7" t="s">
        <v>309</v>
      </c>
      <c r="Y2" s="7" t="s">
        <v>310</v>
      </c>
      <c r="Z2" s="7" t="s">
        <v>311</v>
      </c>
      <c r="AA2" s="7" t="s">
        <v>312</v>
      </c>
      <c r="AB2" s="7" t="s">
        <v>313</v>
      </c>
      <c r="AC2" s="31" t="s">
        <v>314</v>
      </c>
      <c r="AD2" s="31" t="s">
        <v>19</v>
      </c>
      <c r="AE2" s="31" t="s">
        <v>20</v>
      </c>
      <c r="AF2" s="31" t="s">
        <v>19</v>
      </c>
      <c r="AG2" s="31" t="s">
        <v>20</v>
      </c>
      <c r="AH2" s="7" t="s">
        <v>315</v>
      </c>
      <c r="AI2" s="7" t="s">
        <v>316</v>
      </c>
      <c r="AJ2" s="7" t="s">
        <v>317</v>
      </c>
      <c r="AK2" s="7" t="s">
        <v>318</v>
      </c>
      <c r="AL2" s="7" t="s">
        <v>319</v>
      </c>
      <c r="AM2" s="7" t="s">
        <v>320</v>
      </c>
      <c r="AN2" s="7" t="s">
        <v>321</v>
      </c>
      <c r="AO2" s="7" t="s">
        <v>322</v>
      </c>
      <c r="AP2" s="7" t="s">
        <v>323</v>
      </c>
      <c r="AQ2" s="7" t="s">
        <v>324</v>
      </c>
      <c r="AR2" s="7" t="s">
        <v>325</v>
      </c>
      <c r="AS2" s="7" t="s">
        <v>326</v>
      </c>
      <c r="AT2" s="7" t="s">
        <v>327</v>
      </c>
      <c r="AU2" s="7" t="s">
        <v>328</v>
      </c>
      <c r="AV2" s="7" t="s">
        <v>20</v>
      </c>
      <c r="AW2" s="7" t="s">
        <v>329</v>
      </c>
      <c r="AX2" s="7" t="s">
        <v>20</v>
      </c>
      <c r="AY2" s="7" t="s">
        <v>330</v>
      </c>
      <c r="AZ2" s="7" t="s">
        <v>20</v>
      </c>
      <c r="BA2" s="7" t="s">
        <v>331</v>
      </c>
      <c r="BB2" s="7" t="s">
        <v>20</v>
      </c>
      <c r="BC2" s="7" t="s">
        <v>332</v>
      </c>
      <c r="BD2" s="24"/>
      <c r="BE2" s="24"/>
    </row>
    <row r="3" ht="30" customHeight="1" spans="1:57">
      <c r="A3" s="7" t="s">
        <v>333</v>
      </c>
      <c r="B3" s="7" t="s">
        <v>334</v>
      </c>
      <c r="C3" s="30" t="s">
        <v>335</v>
      </c>
      <c r="D3" s="30"/>
      <c r="E3" s="30"/>
      <c r="F3" s="30"/>
      <c r="G3" s="30"/>
      <c r="H3" s="30"/>
      <c r="I3" s="30"/>
      <c r="J3" s="30"/>
      <c r="K3" s="30"/>
      <c r="L3" s="31" t="s">
        <v>336</v>
      </c>
      <c r="M3" s="31" t="s">
        <v>337</v>
      </c>
      <c r="N3" s="31" t="s">
        <v>337</v>
      </c>
      <c r="O3" s="7" t="s">
        <v>338</v>
      </c>
      <c r="P3" s="7" t="s">
        <v>339</v>
      </c>
      <c r="Q3" s="7" t="s">
        <v>340</v>
      </c>
      <c r="R3" s="7" t="s">
        <v>341</v>
      </c>
      <c r="S3" s="7" t="s">
        <v>342</v>
      </c>
      <c r="T3" s="7" t="s">
        <v>343</v>
      </c>
      <c r="U3" s="7" t="s">
        <v>344</v>
      </c>
      <c r="V3" s="7"/>
      <c r="W3" s="7" t="s">
        <v>345</v>
      </c>
      <c r="X3" s="7" t="s">
        <v>346</v>
      </c>
      <c r="Y3" s="7" t="s">
        <v>347</v>
      </c>
      <c r="Z3" s="7" t="s">
        <v>348</v>
      </c>
      <c r="AA3" s="7" t="s">
        <v>349</v>
      </c>
      <c r="AB3" s="7" t="s">
        <v>350</v>
      </c>
      <c r="AC3" s="31" t="s">
        <v>351</v>
      </c>
      <c r="AD3" s="31"/>
      <c r="AE3" s="31"/>
      <c r="AF3" s="31"/>
      <c r="AG3" s="31"/>
      <c r="AH3" s="7" t="s">
        <v>352</v>
      </c>
      <c r="AI3" s="7" t="s">
        <v>352</v>
      </c>
      <c r="AJ3" s="7" t="s">
        <v>352</v>
      </c>
      <c r="AK3" s="7" t="s">
        <v>353</v>
      </c>
      <c r="AL3" s="7" t="s">
        <v>354</v>
      </c>
      <c r="AM3" s="7" t="s">
        <v>352</v>
      </c>
      <c r="AN3" s="7" t="s">
        <v>355</v>
      </c>
      <c r="AO3" s="7" t="s">
        <v>352</v>
      </c>
      <c r="AP3" s="7" t="s">
        <v>356</v>
      </c>
      <c r="AQ3" s="7" t="s">
        <v>357</v>
      </c>
      <c r="AR3" s="7" t="s">
        <v>358</v>
      </c>
      <c r="AS3" s="7" t="s">
        <v>359</v>
      </c>
      <c r="AT3" s="8" t="s">
        <v>352</v>
      </c>
      <c r="AU3" s="8" t="s">
        <v>352</v>
      </c>
      <c r="AV3" s="7"/>
      <c r="AW3" s="8" t="s">
        <v>352</v>
      </c>
      <c r="AX3" s="7"/>
      <c r="AY3" s="7" t="s">
        <v>352</v>
      </c>
      <c r="AZ3" s="7"/>
      <c r="BA3" s="7" t="s">
        <v>352</v>
      </c>
      <c r="BB3" s="7"/>
      <c r="BC3" s="7" t="s">
        <v>360</v>
      </c>
      <c r="BD3" s="24"/>
      <c r="BE3" s="24"/>
    </row>
    <row r="4" customHeight="1" spans="1:28">
      <c r="A4" s="21"/>
      <c r="B4" s="25"/>
      <c r="L4" s="24"/>
      <c r="M4" s="24"/>
      <c r="Q4" s="24"/>
      <c r="R4" s="24"/>
      <c r="S4" s="24"/>
      <c r="V4" t="s">
        <v>361</v>
      </c>
      <c r="Z4" s="24"/>
      <c r="AA4" s="24"/>
      <c r="AB4" s="24"/>
    </row>
    <row r="5" customFormat="1" customHeight="1" spans="1:28">
      <c r="A5" s="21"/>
      <c r="B5" s="25"/>
      <c r="L5" s="24"/>
      <c r="M5" s="24"/>
      <c r="Q5" s="24"/>
      <c r="R5" s="24"/>
      <c r="S5" s="24"/>
      <c r="Z5" s="24"/>
      <c r="AA5" s="24"/>
      <c r="AB5" s="24"/>
    </row>
    <row r="6" customFormat="1" customHeight="1" spans="1:28">
      <c r="A6" s="21"/>
      <c r="B6" s="25"/>
      <c r="L6" s="24"/>
      <c r="M6" s="24"/>
      <c r="Q6" s="24"/>
      <c r="R6" s="24"/>
      <c r="S6" s="24"/>
      <c r="Z6" s="24"/>
      <c r="AA6" s="24"/>
      <c r="AB6" s="24"/>
    </row>
    <row r="7" customFormat="1" customHeight="1" spans="1:2">
      <c r="A7" s="21"/>
      <c r="B7" s="25"/>
    </row>
    <row r="8" customFormat="1" customHeight="1" spans="1:2">
      <c r="A8" s="21"/>
      <c r="B8" s="25"/>
    </row>
    <row r="9" customFormat="1" customHeight="1" spans="1:2">
      <c r="A9" s="21"/>
      <c r="B9" s="25"/>
    </row>
    <row r="10" customFormat="1" customHeight="1" spans="1:2">
      <c r="A10" s="21"/>
      <c r="B10" s="25"/>
    </row>
    <row r="11" customFormat="1" customHeight="1" spans="1:2">
      <c r="A11" s="21"/>
      <c r="B11" s="25"/>
    </row>
    <row r="12" customFormat="1" customHeight="1" spans="1:2">
      <c r="A12" s="21"/>
      <c r="B12" s="25"/>
    </row>
    <row r="13" customFormat="1" customHeight="1" spans="1:2">
      <c r="A13" s="21"/>
      <c r="B13" s="25"/>
    </row>
    <row r="14" customFormat="1" customHeight="1" spans="1:2">
      <c r="A14" s="21"/>
      <c r="B14" s="25"/>
    </row>
    <row r="15" customFormat="1" customHeight="1" spans="1:2">
      <c r="A15" s="21"/>
      <c r="B15" s="25"/>
    </row>
    <row r="16" customFormat="1" customHeight="1" spans="1:2">
      <c r="A16" s="21"/>
      <c r="B16" s="25"/>
    </row>
    <row r="17" customFormat="1" customHeight="1" spans="1:2">
      <c r="A17" s="21"/>
      <c r="B17" s="25"/>
    </row>
    <row r="18" customFormat="1" customHeight="1" spans="1:2">
      <c r="A18" s="21"/>
      <c r="B18" s="25"/>
    </row>
    <row r="19" customFormat="1" customHeight="1" spans="1:2">
      <c r="A19" s="21"/>
      <c r="B19" s="25"/>
    </row>
    <row r="20" customFormat="1" customHeight="1" spans="1:2">
      <c r="A20" s="21"/>
      <c r="B20" s="25"/>
    </row>
    <row r="21" customFormat="1" customHeight="1" spans="1:2">
      <c r="A21" s="21"/>
      <c r="B21" s="25"/>
    </row>
    <row r="22" customFormat="1" customHeight="1" spans="1:2">
      <c r="A22" s="21"/>
      <c r="B22" s="25"/>
    </row>
    <row r="23" customFormat="1" customHeight="1" spans="1:2">
      <c r="A23" s="21"/>
      <c r="B23" s="25"/>
    </row>
    <row r="24" customFormat="1" customHeight="1" spans="1:2">
      <c r="A24" s="21"/>
      <c r="B24" s="25"/>
    </row>
    <row r="25" customFormat="1" customHeight="1" spans="1:2">
      <c r="A25" s="21"/>
      <c r="B25" s="25"/>
    </row>
    <row r="26" customFormat="1" customHeight="1" spans="1:2">
      <c r="A26" s="21"/>
      <c r="B26" s="25"/>
    </row>
    <row r="27" customFormat="1" customHeight="1" spans="1:2">
      <c r="A27" s="21"/>
      <c r="B27" s="25"/>
    </row>
    <row r="28" customFormat="1" customHeight="1" spans="1:2">
      <c r="A28" s="21"/>
      <c r="B28" s="25"/>
    </row>
    <row r="29" customFormat="1" customHeight="1" spans="1:2">
      <c r="A29" s="21"/>
      <c r="B29" s="25"/>
    </row>
    <row r="30" customFormat="1" customHeight="1" spans="1:2">
      <c r="A30" s="21"/>
      <c r="B30" s="25"/>
    </row>
    <row r="31" customFormat="1" customHeight="1" spans="1:2">
      <c r="A31" s="21"/>
      <c r="B31" s="25"/>
    </row>
    <row r="32" customFormat="1" customHeight="1" spans="1:2">
      <c r="A32" s="21"/>
      <c r="B32" s="25"/>
    </row>
    <row r="33" customFormat="1" customHeight="1" spans="1:2">
      <c r="A33" s="21"/>
      <c r="B33" s="25"/>
    </row>
    <row r="34" customFormat="1" customHeight="1" spans="1:2">
      <c r="A34" s="21"/>
      <c r="B34" s="25"/>
    </row>
    <row r="35" customFormat="1" customHeight="1" spans="1:2">
      <c r="A35" s="21"/>
      <c r="B35" s="25"/>
    </row>
    <row r="36" customFormat="1" customHeight="1" spans="1:2">
      <c r="A36" s="21"/>
      <c r="B36" s="25"/>
    </row>
    <row r="37" customFormat="1" customHeight="1" spans="1:2">
      <c r="A37" s="21"/>
      <c r="B37" s="25"/>
    </row>
    <row r="38" customFormat="1" customHeight="1" spans="1:2">
      <c r="A38" s="21"/>
      <c r="B38" s="25"/>
    </row>
    <row r="39" customFormat="1" customHeight="1" spans="1:2">
      <c r="A39" s="21"/>
      <c r="B39" s="25"/>
    </row>
    <row r="40" customFormat="1" customHeight="1" spans="1:2">
      <c r="A40" s="21"/>
      <c r="B40" s="25"/>
    </row>
    <row r="41" customFormat="1" customHeight="1" spans="1:2">
      <c r="A41" s="21"/>
      <c r="B41" s="25"/>
    </row>
    <row r="42" customFormat="1" customHeight="1" spans="1:2">
      <c r="A42" s="21"/>
      <c r="B42" s="25"/>
    </row>
    <row r="43" customFormat="1" customHeight="1" spans="1:28">
      <c r="A43" s="21"/>
      <c r="B43" s="25"/>
      <c r="L43" t="s">
        <v>362</v>
      </c>
      <c r="M43" t="s">
        <v>362</v>
      </c>
      <c r="Z43" t="s">
        <v>362</v>
      </c>
      <c r="AA43" t="s">
        <v>362</v>
      </c>
      <c r="AB43" t="s">
        <v>362</v>
      </c>
    </row>
  </sheetData>
  <conditionalFormatting sqref="B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43"/>
  <sheetViews>
    <sheetView showGridLines="0" zoomScale="90" zoomScaleNormal="90" workbookViewId="0">
      <selection activeCell="A1" sqref="A1"/>
    </sheetView>
  </sheetViews>
  <sheetFormatPr defaultColWidth="9" defaultRowHeight="20" customHeight="1"/>
  <cols>
    <col min="1" max="1" width="24.5" customWidth="1"/>
    <col min="2" max="2" width="21.525" customWidth="1"/>
    <col min="3" max="3" width="36.625" customWidth="1"/>
    <col min="4" max="4" width="23.625" customWidth="1"/>
    <col min="5" max="5" width="21.5" customWidth="1"/>
    <col min="6" max="6" width="23.625" customWidth="1"/>
    <col min="7" max="7" width="25.75" customWidth="1"/>
    <col min="8" max="8" width="19.5" customWidth="1"/>
    <col min="9" max="10" width="21.5" customWidth="1"/>
    <col min="11" max="11" width="15.25" customWidth="1"/>
    <col min="12" max="12" width="32.875" customWidth="1"/>
    <col min="13" max="13" width="15.375" customWidth="1"/>
    <col min="14" max="14" width="61.5" customWidth="1"/>
  </cols>
  <sheetData>
    <row r="1" customHeight="1" spans="1:16">
      <c r="A1" s="17" t="s">
        <v>363</v>
      </c>
      <c r="C1" s="4" t="s">
        <v>44</v>
      </c>
      <c r="D1" s="5" t="s">
        <v>44</v>
      </c>
      <c r="E1" s="6" t="s">
        <v>44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customHeight="1" spans="1:16">
      <c r="A2" s="7" t="s">
        <v>45</v>
      </c>
      <c r="B2" s="7" t="s">
        <v>46</v>
      </c>
      <c r="C2" s="7" t="s">
        <v>364</v>
      </c>
      <c r="D2" s="7" t="s">
        <v>20</v>
      </c>
      <c r="E2" s="7" t="s">
        <v>20</v>
      </c>
      <c r="F2" s="7" t="s">
        <v>20</v>
      </c>
      <c r="G2" s="7" t="s">
        <v>20</v>
      </c>
      <c r="H2" s="7" t="s">
        <v>20</v>
      </c>
      <c r="I2" s="7" t="s">
        <v>20</v>
      </c>
      <c r="J2" s="7" t="s">
        <v>20</v>
      </c>
      <c r="K2" s="7" t="s">
        <v>20</v>
      </c>
      <c r="L2" s="7" t="s">
        <v>365</v>
      </c>
      <c r="M2" s="7" t="s">
        <v>366</v>
      </c>
      <c r="N2" s="7" t="s">
        <v>53</v>
      </c>
      <c r="O2" s="24"/>
      <c r="P2" s="24"/>
    </row>
    <row r="3" customHeight="1" spans="1:16">
      <c r="A3" s="7" t="s">
        <v>367</v>
      </c>
      <c r="B3" s="7" t="s">
        <v>333</v>
      </c>
      <c r="C3" s="7" t="s">
        <v>335</v>
      </c>
      <c r="D3" s="7"/>
      <c r="E3" s="7"/>
      <c r="F3" s="7"/>
      <c r="G3" s="7"/>
      <c r="H3" s="7"/>
      <c r="I3" s="7"/>
      <c r="J3" s="7"/>
      <c r="K3" s="7"/>
      <c r="L3" s="7" t="s">
        <v>368</v>
      </c>
      <c r="M3" s="7" t="s">
        <v>369</v>
      </c>
      <c r="N3" s="7"/>
      <c r="O3" s="24"/>
      <c r="P3" s="24"/>
    </row>
    <row r="4" customHeight="1" spans="1:14">
      <c r="A4" s="21" t="s">
        <v>370</v>
      </c>
      <c r="B4" s="25"/>
      <c r="D4" s="24" t="s">
        <v>371</v>
      </c>
      <c r="E4" s="24" t="s">
        <v>372</v>
      </c>
      <c r="F4" s="24" t="s">
        <v>373</v>
      </c>
      <c r="G4" s="24" t="s">
        <v>362</v>
      </c>
      <c r="H4" s="24" t="s">
        <v>362</v>
      </c>
      <c r="I4" s="24" t="s">
        <v>362</v>
      </c>
      <c r="J4" s="24" t="s">
        <v>362</v>
      </c>
      <c r="K4" s="24" t="s">
        <v>362</v>
      </c>
      <c r="N4" t="s">
        <v>361</v>
      </c>
    </row>
    <row r="5" customHeight="1" spans="1:11">
      <c r="A5" s="21" t="s">
        <v>374</v>
      </c>
      <c r="B5" s="25"/>
      <c r="D5" s="24" t="s">
        <v>375</v>
      </c>
      <c r="E5" s="24" t="s">
        <v>376</v>
      </c>
      <c r="F5" s="24" t="s">
        <v>377</v>
      </c>
      <c r="G5" s="24" t="s">
        <v>378</v>
      </c>
      <c r="H5" s="24" t="s">
        <v>379</v>
      </c>
      <c r="I5" s="24" t="s">
        <v>362</v>
      </c>
      <c r="J5" s="24" t="s">
        <v>362</v>
      </c>
      <c r="K5" s="24" t="s">
        <v>362</v>
      </c>
    </row>
    <row r="6" customHeight="1" spans="1:11">
      <c r="A6" s="21" t="s">
        <v>380</v>
      </c>
      <c r="B6" s="25"/>
      <c r="D6" s="24" t="s">
        <v>381</v>
      </c>
      <c r="E6" s="24" t="s">
        <v>382</v>
      </c>
      <c r="F6" s="24" t="s">
        <v>383</v>
      </c>
      <c r="G6" s="24" t="s">
        <v>384</v>
      </c>
      <c r="H6" s="24" t="s">
        <v>385</v>
      </c>
      <c r="I6" s="24" t="s">
        <v>386</v>
      </c>
      <c r="J6" s="24" t="s">
        <v>387</v>
      </c>
      <c r="K6" s="24" t="s">
        <v>388</v>
      </c>
    </row>
    <row r="7" customHeight="1" spans="1:11">
      <c r="A7" s="21" t="s">
        <v>389</v>
      </c>
      <c r="B7" s="25"/>
      <c r="D7" t="s">
        <v>390</v>
      </c>
      <c r="E7" t="s">
        <v>391</v>
      </c>
      <c r="F7" t="s">
        <v>392</v>
      </c>
      <c r="G7" t="s">
        <v>393</v>
      </c>
      <c r="H7" t="s">
        <v>362</v>
      </c>
      <c r="I7" t="s">
        <v>362</v>
      </c>
      <c r="J7" t="s">
        <v>362</v>
      </c>
      <c r="K7" t="s">
        <v>362</v>
      </c>
    </row>
    <row r="8" customHeight="1" spans="1:11">
      <c r="A8" s="21" t="s">
        <v>394</v>
      </c>
      <c r="B8" s="25"/>
      <c r="D8" t="s">
        <v>395</v>
      </c>
      <c r="E8" t="s">
        <v>396</v>
      </c>
      <c r="F8" t="s">
        <v>397</v>
      </c>
      <c r="G8" t="s">
        <v>362</v>
      </c>
      <c r="H8" t="s">
        <v>362</v>
      </c>
      <c r="I8" t="s">
        <v>362</v>
      </c>
      <c r="J8" t="s">
        <v>362</v>
      </c>
      <c r="K8" t="s">
        <v>362</v>
      </c>
    </row>
    <row r="9" customHeight="1" spans="1:11">
      <c r="A9" s="21" t="s">
        <v>398</v>
      </c>
      <c r="B9" s="25"/>
      <c r="D9" t="s">
        <v>399</v>
      </c>
      <c r="E9" t="s">
        <v>400</v>
      </c>
      <c r="F9" t="s">
        <v>372</v>
      </c>
      <c r="G9" t="s">
        <v>401</v>
      </c>
      <c r="H9" t="s">
        <v>362</v>
      </c>
      <c r="I9" t="s">
        <v>362</v>
      </c>
      <c r="J9" t="s">
        <v>362</v>
      </c>
      <c r="K9" t="s">
        <v>362</v>
      </c>
    </row>
    <row r="10" customHeight="1" spans="1:11">
      <c r="A10" s="21" t="s">
        <v>402</v>
      </c>
      <c r="B10" s="25"/>
      <c r="D10" t="s">
        <v>403</v>
      </c>
      <c r="E10" t="s">
        <v>404</v>
      </c>
      <c r="F10" t="s">
        <v>362</v>
      </c>
      <c r="G10" t="s">
        <v>362</v>
      </c>
      <c r="H10" t="s">
        <v>362</v>
      </c>
      <c r="I10" t="s">
        <v>362</v>
      </c>
      <c r="J10" t="s">
        <v>362</v>
      </c>
      <c r="K10" t="s">
        <v>362</v>
      </c>
    </row>
    <row r="11" customHeight="1" spans="1:11">
      <c r="A11" s="21" t="s">
        <v>405</v>
      </c>
      <c r="B11" s="25"/>
      <c r="D11" t="s">
        <v>406</v>
      </c>
      <c r="E11" t="s">
        <v>407</v>
      </c>
      <c r="F11" t="s">
        <v>408</v>
      </c>
      <c r="G11" t="s">
        <v>362</v>
      </c>
      <c r="H11" t="s">
        <v>362</v>
      </c>
      <c r="I11" t="s">
        <v>362</v>
      </c>
      <c r="J11" t="s">
        <v>362</v>
      </c>
      <c r="K11" t="s">
        <v>362</v>
      </c>
    </row>
    <row r="12" customHeight="1" spans="1:11">
      <c r="A12" s="21" t="s">
        <v>409</v>
      </c>
      <c r="B12" s="25"/>
      <c r="D12" t="s">
        <v>410</v>
      </c>
      <c r="E12" t="s">
        <v>411</v>
      </c>
      <c r="F12" t="s">
        <v>412</v>
      </c>
      <c r="G12" t="s">
        <v>413</v>
      </c>
      <c r="H12" t="s">
        <v>414</v>
      </c>
      <c r="I12" t="s">
        <v>362</v>
      </c>
      <c r="J12" t="s">
        <v>362</v>
      </c>
      <c r="K12" t="s">
        <v>362</v>
      </c>
    </row>
    <row r="13" customHeight="1" spans="1:11">
      <c r="A13" s="21" t="s">
        <v>415</v>
      </c>
      <c r="B13" s="25"/>
      <c r="D13" t="s">
        <v>371</v>
      </c>
      <c r="E13" t="s">
        <v>416</v>
      </c>
      <c r="F13" t="s">
        <v>373</v>
      </c>
      <c r="G13" t="s">
        <v>362</v>
      </c>
      <c r="H13" t="s">
        <v>362</v>
      </c>
      <c r="I13" t="s">
        <v>362</v>
      </c>
      <c r="J13" t="s">
        <v>362</v>
      </c>
      <c r="K13" t="s">
        <v>362</v>
      </c>
    </row>
    <row r="14" customHeight="1" spans="1:11">
      <c r="A14" s="21" t="s">
        <v>417</v>
      </c>
      <c r="B14" s="25"/>
      <c r="D14" t="s">
        <v>418</v>
      </c>
      <c r="E14" t="s">
        <v>419</v>
      </c>
      <c r="F14" t="s">
        <v>420</v>
      </c>
      <c r="G14" t="s">
        <v>421</v>
      </c>
      <c r="H14" t="s">
        <v>422</v>
      </c>
      <c r="I14" t="s">
        <v>362</v>
      </c>
      <c r="J14" t="s">
        <v>362</v>
      </c>
      <c r="K14" t="s">
        <v>362</v>
      </c>
    </row>
    <row r="15" customHeight="1" spans="1:11">
      <c r="A15" s="21" t="s">
        <v>423</v>
      </c>
      <c r="B15" s="25"/>
      <c r="D15" t="s">
        <v>424</v>
      </c>
      <c r="E15" t="s">
        <v>425</v>
      </c>
      <c r="F15" t="s">
        <v>426</v>
      </c>
      <c r="G15" t="s">
        <v>362</v>
      </c>
      <c r="H15" t="s">
        <v>362</v>
      </c>
      <c r="I15" t="s">
        <v>362</v>
      </c>
      <c r="J15" t="s">
        <v>362</v>
      </c>
      <c r="K15" t="s">
        <v>362</v>
      </c>
    </row>
    <row r="16" customHeight="1" spans="1:11">
      <c r="A16" s="21" t="s">
        <v>427</v>
      </c>
      <c r="B16" s="25"/>
      <c r="D16" t="s">
        <v>418</v>
      </c>
      <c r="E16" t="s">
        <v>428</v>
      </c>
      <c r="F16" t="s">
        <v>429</v>
      </c>
      <c r="G16" t="s">
        <v>430</v>
      </c>
      <c r="H16" t="s">
        <v>431</v>
      </c>
      <c r="I16" t="s">
        <v>362</v>
      </c>
      <c r="J16" t="s">
        <v>362</v>
      </c>
      <c r="K16" t="s">
        <v>362</v>
      </c>
    </row>
    <row r="17" customHeight="1" spans="1:11">
      <c r="A17" s="21" t="s">
        <v>432</v>
      </c>
      <c r="B17" s="25"/>
      <c r="D17" t="s">
        <v>433</v>
      </c>
      <c r="E17" t="s">
        <v>434</v>
      </c>
      <c r="F17" t="s">
        <v>435</v>
      </c>
      <c r="G17" t="s">
        <v>362</v>
      </c>
      <c r="H17" t="s">
        <v>362</v>
      </c>
      <c r="I17" t="s">
        <v>362</v>
      </c>
      <c r="J17" t="s">
        <v>362</v>
      </c>
      <c r="K17" t="s">
        <v>362</v>
      </c>
    </row>
    <row r="18" customHeight="1" spans="1:11">
      <c r="A18" s="21" t="s">
        <v>436</v>
      </c>
      <c r="B18" s="25"/>
      <c r="D18" t="s">
        <v>435</v>
      </c>
      <c r="E18" t="s">
        <v>437</v>
      </c>
      <c r="F18" t="s">
        <v>438</v>
      </c>
      <c r="G18" t="s">
        <v>439</v>
      </c>
      <c r="H18" t="s">
        <v>362</v>
      </c>
      <c r="I18" t="s">
        <v>362</v>
      </c>
      <c r="J18" t="s">
        <v>362</v>
      </c>
      <c r="K18" t="s">
        <v>362</v>
      </c>
    </row>
    <row r="19" customHeight="1" spans="1:11">
      <c r="A19" s="21" t="s">
        <v>440</v>
      </c>
      <c r="B19" s="25"/>
      <c r="D19" t="s">
        <v>418</v>
      </c>
      <c r="E19" t="s">
        <v>441</v>
      </c>
      <c r="F19" t="s">
        <v>442</v>
      </c>
      <c r="G19" t="s">
        <v>443</v>
      </c>
      <c r="H19" t="s">
        <v>444</v>
      </c>
      <c r="I19" t="s">
        <v>362</v>
      </c>
      <c r="J19" t="s">
        <v>362</v>
      </c>
      <c r="K19" t="s">
        <v>362</v>
      </c>
    </row>
    <row r="20" customHeight="1" spans="1:11">
      <c r="A20" s="21" t="s">
        <v>445</v>
      </c>
      <c r="B20" s="25"/>
      <c r="D20" t="s">
        <v>446</v>
      </c>
      <c r="E20" t="s">
        <v>447</v>
      </c>
      <c r="F20" t="s">
        <v>448</v>
      </c>
      <c r="G20" t="s">
        <v>362</v>
      </c>
      <c r="H20" t="s">
        <v>362</v>
      </c>
      <c r="I20" t="s">
        <v>362</v>
      </c>
      <c r="J20" t="s">
        <v>362</v>
      </c>
      <c r="K20" t="s">
        <v>362</v>
      </c>
    </row>
    <row r="21" customHeight="1" spans="1:11">
      <c r="A21" s="21" t="s">
        <v>449</v>
      </c>
      <c r="B21" s="25"/>
      <c r="D21" t="s">
        <v>450</v>
      </c>
      <c r="E21" t="s">
        <v>451</v>
      </c>
      <c r="F21" t="s">
        <v>362</v>
      </c>
      <c r="G21" t="s">
        <v>362</v>
      </c>
      <c r="H21" t="s">
        <v>362</v>
      </c>
      <c r="I21" t="s">
        <v>362</v>
      </c>
      <c r="J21" t="s">
        <v>362</v>
      </c>
      <c r="K21" t="s">
        <v>362</v>
      </c>
    </row>
    <row r="22" customHeight="1" spans="1:11">
      <c r="A22" s="21" t="s">
        <v>452</v>
      </c>
      <c r="B22" s="25"/>
      <c r="D22" t="s">
        <v>418</v>
      </c>
      <c r="E22" t="s">
        <v>453</v>
      </c>
      <c r="F22" t="s">
        <v>454</v>
      </c>
      <c r="G22" t="s">
        <v>455</v>
      </c>
      <c r="H22" t="s">
        <v>456</v>
      </c>
      <c r="I22" t="s">
        <v>362</v>
      </c>
      <c r="J22" t="s">
        <v>362</v>
      </c>
      <c r="K22" t="s">
        <v>362</v>
      </c>
    </row>
    <row r="23" customHeight="1" spans="1:11">
      <c r="A23" s="21" t="s">
        <v>457</v>
      </c>
      <c r="B23" s="25"/>
      <c r="D23" t="s">
        <v>458</v>
      </c>
      <c r="E23" t="s">
        <v>459</v>
      </c>
      <c r="F23" t="s">
        <v>460</v>
      </c>
      <c r="G23" t="s">
        <v>362</v>
      </c>
      <c r="H23" t="s">
        <v>362</v>
      </c>
      <c r="I23" t="s">
        <v>362</v>
      </c>
      <c r="J23" t="s">
        <v>362</v>
      </c>
      <c r="K23" t="s">
        <v>362</v>
      </c>
    </row>
    <row r="24" customHeight="1" spans="1:11">
      <c r="A24" s="21" t="s">
        <v>461</v>
      </c>
      <c r="B24" s="25"/>
      <c r="D24" t="s">
        <v>462</v>
      </c>
      <c r="E24" t="s">
        <v>463</v>
      </c>
      <c r="F24" t="s">
        <v>464</v>
      </c>
      <c r="G24" t="s">
        <v>362</v>
      </c>
      <c r="H24" t="s">
        <v>362</v>
      </c>
      <c r="I24" t="s">
        <v>362</v>
      </c>
      <c r="J24" t="s">
        <v>362</v>
      </c>
      <c r="K24" t="s">
        <v>362</v>
      </c>
    </row>
    <row r="25" customHeight="1" spans="1:11">
      <c r="A25" s="21" t="s">
        <v>465</v>
      </c>
      <c r="B25" s="25"/>
      <c r="D25" t="s">
        <v>418</v>
      </c>
      <c r="E25" t="s">
        <v>466</v>
      </c>
      <c r="F25" t="s">
        <v>467</v>
      </c>
      <c r="G25" t="s">
        <v>468</v>
      </c>
      <c r="H25" t="s">
        <v>469</v>
      </c>
      <c r="I25" t="s">
        <v>362</v>
      </c>
      <c r="J25" t="s">
        <v>362</v>
      </c>
      <c r="K25" t="s">
        <v>362</v>
      </c>
    </row>
    <row r="26" customHeight="1" spans="1:11">
      <c r="A26" s="21" t="s">
        <v>470</v>
      </c>
      <c r="B26" s="25"/>
      <c r="D26" t="s">
        <v>458</v>
      </c>
      <c r="E26" t="s">
        <v>471</v>
      </c>
      <c r="F26" t="s">
        <v>472</v>
      </c>
      <c r="G26" t="s">
        <v>362</v>
      </c>
      <c r="H26" t="s">
        <v>362</v>
      </c>
      <c r="I26" t="s">
        <v>362</v>
      </c>
      <c r="J26" t="s">
        <v>362</v>
      </c>
      <c r="K26" t="s">
        <v>362</v>
      </c>
    </row>
    <row r="27" customHeight="1" spans="1:11">
      <c r="A27" s="21" t="s">
        <v>473</v>
      </c>
      <c r="B27" s="25"/>
      <c r="D27" t="s">
        <v>462</v>
      </c>
      <c r="E27" t="s">
        <v>474</v>
      </c>
      <c r="F27" t="s">
        <v>464</v>
      </c>
      <c r="G27" t="s">
        <v>362</v>
      </c>
      <c r="H27" t="s">
        <v>362</v>
      </c>
      <c r="I27" t="s">
        <v>362</v>
      </c>
      <c r="J27" t="s">
        <v>362</v>
      </c>
      <c r="K27" t="s">
        <v>362</v>
      </c>
    </row>
    <row r="28" customHeight="1" spans="1:11">
      <c r="A28" s="21" t="s">
        <v>475</v>
      </c>
      <c r="B28" s="25"/>
      <c r="D28" t="s">
        <v>418</v>
      </c>
      <c r="E28" t="s">
        <v>476</v>
      </c>
      <c r="F28" t="s">
        <v>477</v>
      </c>
      <c r="G28" t="s">
        <v>478</v>
      </c>
      <c r="H28" t="s">
        <v>479</v>
      </c>
      <c r="I28" t="s">
        <v>362</v>
      </c>
      <c r="J28" t="s">
        <v>362</v>
      </c>
      <c r="K28" t="s">
        <v>362</v>
      </c>
    </row>
    <row r="29" customHeight="1" spans="1:11">
      <c r="A29" s="21" t="s">
        <v>480</v>
      </c>
      <c r="B29" s="25"/>
      <c r="D29" t="s">
        <v>481</v>
      </c>
      <c r="E29" t="s">
        <v>482</v>
      </c>
      <c r="F29" t="s">
        <v>483</v>
      </c>
      <c r="G29" t="s">
        <v>484</v>
      </c>
      <c r="H29" t="s">
        <v>362</v>
      </c>
      <c r="I29" t="s">
        <v>362</v>
      </c>
      <c r="J29" t="s">
        <v>362</v>
      </c>
      <c r="K29" t="s">
        <v>362</v>
      </c>
    </row>
    <row r="30" customHeight="1" spans="1:11">
      <c r="A30" s="21" t="s">
        <v>485</v>
      </c>
      <c r="B30" s="25"/>
      <c r="D30" t="s">
        <v>486</v>
      </c>
      <c r="E30" t="s">
        <v>487</v>
      </c>
      <c r="F30" t="s">
        <v>488</v>
      </c>
      <c r="G30" t="s">
        <v>489</v>
      </c>
      <c r="H30" t="s">
        <v>362</v>
      </c>
      <c r="I30" t="s">
        <v>362</v>
      </c>
      <c r="J30" t="s">
        <v>362</v>
      </c>
      <c r="K30" t="s">
        <v>362</v>
      </c>
    </row>
    <row r="31" customHeight="1" spans="1:11">
      <c r="A31" s="21" t="s">
        <v>490</v>
      </c>
      <c r="B31" s="25"/>
      <c r="D31" t="s">
        <v>410</v>
      </c>
      <c r="E31" t="s">
        <v>491</v>
      </c>
      <c r="F31" t="s">
        <v>492</v>
      </c>
      <c r="G31" t="s">
        <v>493</v>
      </c>
      <c r="H31" t="s">
        <v>494</v>
      </c>
      <c r="I31" t="s">
        <v>362</v>
      </c>
      <c r="J31" t="s">
        <v>362</v>
      </c>
      <c r="K31" t="s">
        <v>362</v>
      </c>
    </row>
    <row r="32" customHeight="1" spans="1:11">
      <c r="A32" s="21" t="s">
        <v>495</v>
      </c>
      <c r="B32" s="25"/>
      <c r="D32" t="s">
        <v>496</v>
      </c>
      <c r="E32" t="s">
        <v>497</v>
      </c>
      <c r="F32" t="s">
        <v>498</v>
      </c>
      <c r="G32" t="s">
        <v>499</v>
      </c>
      <c r="H32" t="s">
        <v>500</v>
      </c>
      <c r="I32" t="s">
        <v>501</v>
      </c>
      <c r="J32" t="s">
        <v>502</v>
      </c>
      <c r="K32" t="s">
        <v>503</v>
      </c>
    </row>
    <row r="33" customHeight="1" spans="1:11">
      <c r="A33" s="21" t="s">
        <v>504</v>
      </c>
      <c r="B33" s="25"/>
      <c r="D33" t="s">
        <v>505</v>
      </c>
      <c r="E33" t="s">
        <v>506</v>
      </c>
      <c r="F33" t="s">
        <v>507</v>
      </c>
      <c r="G33" t="s">
        <v>362</v>
      </c>
      <c r="H33" t="s">
        <v>362</v>
      </c>
      <c r="I33" t="s">
        <v>362</v>
      </c>
      <c r="J33" t="s">
        <v>362</v>
      </c>
      <c r="K33" t="s">
        <v>362</v>
      </c>
    </row>
    <row r="34" customHeight="1" spans="1:11">
      <c r="A34" s="21" t="s">
        <v>508</v>
      </c>
      <c r="B34" s="25"/>
      <c r="D34" t="s">
        <v>509</v>
      </c>
      <c r="E34" t="s">
        <v>510</v>
      </c>
      <c r="F34" t="s">
        <v>511</v>
      </c>
      <c r="G34" t="s">
        <v>362</v>
      </c>
      <c r="H34" t="s">
        <v>362</v>
      </c>
      <c r="I34" t="s">
        <v>362</v>
      </c>
      <c r="J34" t="s">
        <v>362</v>
      </c>
      <c r="K34" t="s">
        <v>362</v>
      </c>
    </row>
    <row r="35" customHeight="1" spans="1:11">
      <c r="A35" s="21" t="s">
        <v>512</v>
      </c>
      <c r="B35" s="25"/>
      <c r="D35" t="s">
        <v>513</v>
      </c>
      <c r="E35" t="s">
        <v>514</v>
      </c>
      <c r="F35" t="s">
        <v>515</v>
      </c>
      <c r="G35" t="s">
        <v>516</v>
      </c>
      <c r="H35" t="s">
        <v>362</v>
      </c>
      <c r="I35" t="s">
        <v>362</v>
      </c>
      <c r="J35" t="s">
        <v>362</v>
      </c>
      <c r="K35" t="s">
        <v>362</v>
      </c>
    </row>
    <row r="36" customHeight="1" spans="1:11">
      <c r="A36" s="21" t="s">
        <v>517</v>
      </c>
      <c r="B36" s="25"/>
      <c r="D36" t="s">
        <v>518</v>
      </c>
      <c r="E36" t="s">
        <v>519</v>
      </c>
      <c r="G36" t="s">
        <v>362</v>
      </c>
      <c r="H36" t="s">
        <v>362</v>
      </c>
      <c r="I36" t="s">
        <v>362</v>
      </c>
      <c r="J36" t="s">
        <v>362</v>
      </c>
      <c r="K36" t="s">
        <v>362</v>
      </c>
    </row>
    <row r="37" customHeight="1" spans="1:11">
      <c r="A37" s="21" t="s">
        <v>520</v>
      </c>
      <c r="B37" s="25"/>
      <c r="D37" t="s">
        <v>521</v>
      </c>
      <c r="E37" t="s">
        <v>522</v>
      </c>
      <c r="F37" t="s">
        <v>362</v>
      </c>
      <c r="G37" t="s">
        <v>362</v>
      </c>
      <c r="H37" t="s">
        <v>362</v>
      </c>
      <c r="I37" t="s">
        <v>362</v>
      </c>
      <c r="J37" t="s">
        <v>362</v>
      </c>
      <c r="K37" t="s">
        <v>362</v>
      </c>
    </row>
    <row r="38" customHeight="1" spans="1:11">
      <c r="A38" s="21" t="s">
        <v>523</v>
      </c>
      <c r="B38" s="25"/>
      <c r="D38" t="s">
        <v>524</v>
      </c>
      <c r="E38" t="s">
        <v>525</v>
      </c>
      <c r="F38" t="s">
        <v>526</v>
      </c>
      <c r="G38" t="s">
        <v>527</v>
      </c>
      <c r="H38" t="s">
        <v>362</v>
      </c>
      <c r="I38" t="s">
        <v>362</v>
      </c>
      <c r="J38" t="s">
        <v>362</v>
      </c>
      <c r="K38" t="s">
        <v>362</v>
      </c>
    </row>
    <row r="39" customHeight="1" spans="1:11">
      <c r="A39" s="21" t="s">
        <v>528</v>
      </c>
      <c r="B39" s="25"/>
      <c r="D39" t="s">
        <v>529</v>
      </c>
      <c r="E39" t="s">
        <v>530</v>
      </c>
      <c r="F39" t="s">
        <v>362</v>
      </c>
      <c r="G39" t="s">
        <v>362</v>
      </c>
      <c r="H39" t="s">
        <v>362</v>
      </c>
      <c r="I39" t="s">
        <v>362</v>
      </c>
      <c r="J39" t="s">
        <v>362</v>
      </c>
      <c r="K39" t="s">
        <v>362</v>
      </c>
    </row>
    <row r="40" customHeight="1" spans="1:11">
      <c r="A40" s="21" t="s">
        <v>531</v>
      </c>
      <c r="B40" s="25"/>
      <c r="D40" t="s">
        <v>532</v>
      </c>
      <c r="E40" t="s">
        <v>533</v>
      </c>
      <c r="F40" t="s">
        <v>534</v>
      </c>
      <c r="G40" t="s">
        <v>362</v>
      </c>
      <c r="H40" t="s">
        <v>362</v>
      </c>
      <c r="I40" t="s">
        <v>362</v>
      </c>
      <c r="J40" t="s">
        <v>362</v>
      </c>
      <c r="K40" t="s">
        <v>362</v>
      </c>
    </row>
    <row r="41" customHeight="1" spans="1:11">
      <c r="A41" s="21" t="s">
        <v>535</v>
      </c>
      <c r="B41" s="25"/>
      <c r="D41" t="s">
        <v>536</v>
      </c>
      <c r="E41" t="s">
        <v>537</v>
      </c>
      <c r="F41" t="s">
        <v>538</v>
      </c>
      <c r="G41" t="s">
        <v>362</v>
      </c>
      <c r="H41" t="s">
        <v>362</v>
      </c>
      <c r="I41" t="s">
        <v>362</v>
      </c>
      <c r="J41" t="s">
        <v>362</v>
      </c>
      <c r="K41" t="s">
        <v>362</v>
      </c>
    </row>
    <row r="42" customHeight="1" spans="1:11">
      <c r="A42" s="21" t="s">
        <v>539</v>
      </c>
      <c r="B42" s="25"/>
      <c r="D42" t="s">
        <v>399</v>
      </c>
      <c r="E42" t="s">
        <v>540</v>
      </c>
      <c r="F42" t="s">
        <v>541</v>
      </c>
      <c r="G42" t="s">
        <v>362</v>
      </c>
      <c r="H42" t="s">
        <v>362</v>
      </c>
      <c r="I42" t="s">
        <v>362</v>
      </c>
      <c r="J42" t="s">
        <v>362</v>
      </c>
      <c r="K42" t="s">
        <v>362</v>
      </c>
    </row>
    <row r="43" customHeight="1" spans="1:11">
      <c r="A43" s="21" t="s">
        <v>542</v>
      </c>
      <c r="B43" s="25"/>
      <c r="D43" t="s">
        <v>403</v>
      </c>
      <c r="E43" t="s">
        <v>543</v>
      </c>
      <c r="F43" t="s">
        <v>362</v>
      </c>
      <c r="G43" t="s">
        <v>362</v>
      </c>
      <c r="H43" t="s">
        <v>362</v>
      </c>
      <c r="I43" t="s">
        <v>362</v>
      </c>
      <c r="J43" t="s">
        <v>362</v>
      </c>
      <c r="K43" t="s">
        <v>362</v>
      </c>
    </row>
  </sheetData>
  <conditionalFormatting sqref="C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C148"/>
  <sheetViews>
    <sheetView showGridLines="0" zoomScale="90" zoomScaleNormal="90" workbookViewId="0">
      <pane xSplit="2" ySplit="3" topLeftCell="AI4" activePane="bottomRight" state="frozen"/>
      <selection/>
      <selection pane="topRight"/>
      <selection pane="bottomLeft"/>
      <selection pane="bottomRight" activeCell="AI9" sqref="AI9"/>
    </sheetView>
  </sheetViews>
  <sheetFormatPr defaultColWidth="13.25" defaultRowHeight="20" customHeight="1"/>
  <cols>
    <col min="1" max="1" width="25.75" style="15" customWidth="1"/>
    <col min="2" max="2" width="24.75" style="15" customWidth="1"/>
    <col min="3" max="3" width="32.875" customWidth="1"/>
    <col min="4" max="5" width="9.875" customWidth="1"/>
    <col min="6" max="6" width="41.625" customWidth="1"/>
    <col min="7" max="7" width="25.75" style="15" customWidth="1"/>
    <col min="8" max="8" width="21.5" style="15" customWidth="1"/>
    <col min="9" max="9" width="25.375" customWidth="1"/>
    <col min="10" max="10" width="31.5" style="15" customWidth="1"/>
    <col min="11" max="11" width="24" style="15" customWidth="1"/>
    <col min="12" max="12" width="24.875" style="15" customWidth="1"/>
    <col min="13" max="13" width="49.125" style="2" customWidth="1"/>
    <col min="14" max="14" width="8.875" customWidth="1"/>
    <col min="15" max="15" width="7" customWidth="1"/>
    <col min="16" max="16" width="8.875" customWidth="1"/>
    <col min="17" max="17" width="7" customWidth="1"/>
    <col min="18" max="18" width="8.875" customWidth="1"/>
    <col min="19" max="19" width="7" customWidth="1"/>
    <col min="20" max="20" width="8.875" customWidth="1"/>
    <col min="21" max="21" width="7" customWidth="1"/>
    <col min="22" max="22" width="5.875" customWidth="1"/>
    <col min="23" max="23" width="7" customWidth="1"/>
    <col min="24" max="24" width="10.875" customWidth="1"/>
    <col min="25" max="25" width="7" customWidth="1"/>
    <col min="26" max="26" width="8.875" customWidth="1"/>
    <col min="27" max="27" width="7" customWidth="1"/>
    <col min="28" max="28" width="44.125" style="2" customWidth="1"/>
    <col min="29" max="29" width="7" style="2" customWidth="1"/>
    <col min="30" max="30" width="6.375" style="16" customWidth="1"/>
    <col min="31" max="31" width="7" style="2" customWidth="1"/>
    <col min="32" max="32" width="6.375" style="16" customWidth="1"/>
    <col min="33" max="33" width="7" style="2" customWidth="1"/>
    <col min="34" max="34" width="6.375" style="16" customWidth="1"/>
    <col min="35" max="35" width="39.125" customWidth="1"/>
    <col min="36" max="36" width="37.125" customWidth="1"/>
    <col min="37" max="37" width="6.375" customWidth="1"/>
    <col min="38" max="38" width="36" customWidth="1"/>
    <col min="39" max="39" width="6.375" customWidth="1"/>
    <col min="40" max="40" width="32.625" customWidth="1"/>
    <col min="41" max="41" width="6.375" customWidth="1"/>
    <col min="42" max="42" width="47.875" customWidth="1"/>
    <col min="43" max="43" width="5.375" customWidth="1"/>
    <col min="44" max="44" width="6.375" customWidth="1"/>
    <col min="45" max="45" width="47.875" customWidth="1"/>
    <col min="46" max="46" width="5.375" customWidth="1"/>
    <col min="47" max="47" width="6.375" customWidth="1"/>
    <col min="48" max="48" width="25.375" customWidth="1"/>
    <col min="49" max="49" width="7" customWidth="1"/>
    <col min="50" max="50" width="41.625" customWidth="1"/>
    <col min="51" max="51" width="7" customWidth="1"/>
    <col min="52" max="52" width="9.25" style="2" customWidth="1"/>
    <col min="53" max="53" width="11.625" style="2" customWidth="1"/>
    <col min="54" max="54" width="26.625" customWidth="1"/>
    <col min="55" max="55" width="21.625" customWidth="1"/>
  </cols>
  <sheetData>
    <row r="1" customHeight="1" spans="1:53">
      <c r="A1" s="17" t="s">
        <v>544</v>
      </c>
      <c r="B1"/>
      <c r="AZ1"/>
      <c r="BA1"/>
    </row>
    <row r="2" s="14" customFormat="1" ht="49" customHeight="1" spans="1:55">
      <c r="A2" s="7" t="s">
        <v>45</v>
      </c>
      <c r="B2" s="7" t="s">
        <v>46</v>
      </c>
      <c r="C2" s="7" t="s">
        <v>300</v>
      </c>
      <c r="D2" s="7" t="s">
        <v>20</v>
      </c>
      <c r="E2" s="7" t="s">
        <v>20</v>
      </c>
      <c r="F2" s="7" t="s">
        <v>545</v>
      </c>
      <c r="G2" s="7" t="s">
        <v>20</v>
      </c>
      <c r="H2" s="7" t="s">
        <v>20</v>
      </c>
      <c r="I2" s="7" t="s">
        <v>546</v>
      </c>
      <c r="J2" s="7" t="s">
        <v>20</v>
      </c>
      <c r="K2" s="7" t="s">
        <v>20</v>
      </c>
      <c r="L2" s="7" t="s">
        <v>20</v>
      </c>
      <c r="M2" s="7" t="s">
        <v>547</v>
      </c>
      <c r="N2" s="7" t="s">
        <v>19</v>
      </c>
      <c r="O2" s="7" t="s">
        <v>20</v>
      </c>
      <c r="P2" s="7" t="s">
        <v>19</v>
      </c>
      <c r="Q2" s="7" t="s">
        <v>20</v>
      </c>
      <c r="R2" s="7" t="s">
        <v>19</v>
      </c>
      <c r="S2" s="7" t="s">
        <v>20</v>
      </c>
      <c r="T2" s="7" t="s">
        <v>19</v>
      </c>
      <c r="U2" s="7" t="s">
        <v>20</v>
      </c>
      <c r="V2" s="7" t="s">
        <v>19</v>
      </c>
      <c r="W2" s="7" t="s">
        <v>20</v>
      </c>
      <c r="X2" s="7" t="s">
        <v>19</v>
      </c>
      <c r="Y2" s="7" t="s">
        <v>20</v>
      </c>
      <c r="Z2" s="7" t="s">
        <v>19</v>
      </c>
      <c r="AA2" s="7" t="s">
        <v>20</v>
      </c>
      <c r="AB2" s="7" t="s">
        <v>548</v>
      </c>
      <c r="AC2" s="7" t="s">
        <v>19</v>
      </c>
      <c r="AD2" s="7" t="s">
        <v>20</v>
      </c>
      <c r="AE2" s="7" t="s">
        <v>19</v>
      </c>
      <c r="AF2" s="7" t="s">
        <v>20</v>
      </c>
      <c r="AG2" s="7" t="s">
        <v>19</v>
      </c>
      <c r="AH2" s="7" t="s">
        <v>20</v>
      </c>
      <c r="AI2" s="7" t="s">
        <v>549</v>
      </c>
      <c r="AJ2" s="7" t="s">
        <v>19</v>
      </c>
      <c r="AK2" s="7" t="s">
        <v>20</v>
      </c>
      <c r="AL2" s="7" t="s">
        <v>19</v>
      </c>
      <c r="AM2" s="7" t="s">
        <v>20</v>
      </c>
      <c r="AN2" s="7" t="s">
        <v>19</v>
      </c>
      <c r="AO2" s="7" t="s">
        <v>20</v>
      </c>
      <c r="AP2" s="7" t="s">
        <v>550</v>
      </c>
      <c r="AQ2" s="7" t="s">
        <v>19</v>
      </c>
      <c r="AR2" s="7" t="s">
        <v>20</v>
      </c>
      <c r="AS2" s="7" t="s">
        <v>551</v>
      </c>
      <c r="AT2" s="7" t="s">
        <v>19</v>
      </c>
      <c r="AU2" s="7" t="s">
        <v>20</v>
      </c>
      <c r="AV2" s="7" t="s">
        <v>552</v>
      </c>
      <c r="AW2" s="7" t="s">
        <v>20</v>
      </c>
      <c r="AX2" s="7" t="s">
        <v>553</v>
      </c>
      <c r="AY2" s="7" t="s">
        <v>20</v>
      </c>
      <c r="AZ2" s="7" t="s">
        <v>53</v>
      </c>
      <c r="BA2" s="7" t="s">
        <v>554</v>
      </c>
      <c r="BB2" s="7" t="s">
        <v>555</v>
      </c>
      <c r="BC2" s="7" t="s">
        <v>556</v>
      </c>
    </row>
    <row r="3" s="14" customFormat="1" ht="35" customHeight="1" spans="1:55">
      <c r="A3" s="7" t="s">
        <v>335</v>
      </c>
      <c r="B3" s="7" t="s">
        <v>557</v>
      </c>
      <c r="C3" s="7" t="s">
        <v>336</v>
      </c>
      <c r="D3" s="7" t="s">
        <v>336</v>
      </c>
      <c r="E3" s="7" t="s">
        <v>336</v>
      </c>
      <c r="F3" s="7" t="s">
        <v>558</v>
      </c>
      <c r="G3" s="7" t="s">
        <v>558</v>
      </c>
      <c r="H3" s="7" t="s">
        <v>558</v>
      </c>
      <c r="I3" s="7" t="s">
        <v>559</v>
      </c>
      <c r="J3" s="7" t="s">
        <v>559</v>
      </c>
      <c r="K3" s="7" t="s">
        <v>559</v>
      </c>
      <c r="L3" s="7" t="s">
        <v>559</v>
      </c>
      <c r="M3" s="7" t="s">
        <v>560</v>
      </c>
      <c r="N3" s="22" t="s">
        <v>561</v>
      </c>
      <c r="O3" s="22" t="s">
        <v>562</v>
      </c>
      <c r="P3" s="22" t="s">
        <v>561</v>
      </c>
      <c r="Q3" s="22" t="s">
        <v>562</v>
      </c>
      <c r="R3" s="22" t="s">
        <v>561</v>
      </c>
      <c r="S3" s="22" t="s">
        <v>562</v>
      </c>
      <c r="T3" s="22" t="s">
        <v>561</v>
      </c>
      <c r="U3" s="22" t="s">
        <v>562</v>
      </c>
      <c r="V3" s="22" t="s">
        <v>561</v>
      </c>
      <c r="W3" s="22" t="s">
        <v>562</v>
      </c>
      <c r="X3" s="23" t="s">
        <v>563</v>
      </c>
      <c r="Y3" s="23" t="s">
        <v>562</v>
      </c>
      <c r="Z3" s="23" t="s">
        <v>563</v>
      </c>
      <c r="AA3" s="23" t="s">
        <v>562</v>
      </c>
      <c r="AB3" s="7" t="s">
        <v>564</v>
      </c>
      <c r="AC3" s="22" t="s">
        <v>565</v>
      </c>
      <c r="AD3" s="22" t="s">
        <v>562</v>
      </c>
      <c r="AE3" s="22" t="s">
        <v>565</v>
      </c>
      <c r="AF3" s="22" t="s">
        <v>562</v>
      </c>
      <c r="AG3" s="22" t="s">
        <v>565</v>
      </c>
      <c r="AH3" s="22" t="s">
        <v>562</v>
      </c>
      <c r="AI3" s="7" t="s">
        <v>566</v>
      </c>
      <c r="AJ3" s="23" t="s">
        <v>567</v>
      </c>
      <c r="AK3" s="23" t="s">
        <v>562</v>
      </c>
      <c r="AL3" s="23" t="s">
        <v>567</v>
      </c>
      <c r="AM3" s="23" t="s">
        <v>562</v>
      </c>
      <c r="AN3" s="23" t="s">
        <v>567</v>
      </c>
      <c r="AO3" s="23" t="s">
        <v>562</v>
      </c>
      <c r="AP3" s="7" t="s">
        <v>568</v>
      </c>
      <c r="AQ3" s="7"/>
      <c r="AR3" s="7"/>
      <c r="AS3" s="7" t="s">
        <v>569</v>
      </c>
      <c r="AT3" s="7"/>
      <c r="AU3" s="7"/>
      <c r="AV3" s="7" t="s">
        <v>570</v>
      </c>
      <c r="AW3" s="7"/>
      <c r="AX3" s="7" t="s">
        <v>571</v>
      </c>
      <c r="AY3" s="7"/>
      <c r="AZ3" s="7" t="s">
        <v>62</v>
      </c>
      <c r="BA3" s="7" t="s">
        <v>572</v>
      </c>
      <c r="BB3" s="7" t="s">
        <v>573</v>
      </c>
      <c r="BC3" s="7" t="s">
        <v>574</v>
      </c>
    </row>
    <row r="4" customHeight="1" spans="1:54">
      <c r="A4" s="18" t="s">
        <v>381</v>
      </c>
      <c r="B4" s="18" t="s">
        <v>380</v>
      </c>
      <c r="D4" s="19"/>
      <c r="E4" s="19"/>
      <c r="G4" s="20" t="s">
        <v>362</v>
      </c>
      <c r="H4" s="20" t="s">
        <v>362</v>
      </c>
      <c r="J4" s="20" t="s">
        <v>575</v>
      </c>
      <c r="K4" s="20" t="s">
        <v>576</v>
      </c>
      <c r="L4" s="20" t="s">
        <v>577</v>
      </c>
      <c r="N4" s="22" t="s">
        <v>138</v>
      </c>
      <c r="O4" s="22">
        <v>5</v>
      </c>
      <c r="P4" s="22" t="s">
        <v>119</v>
      </c>
      <c r="Q4" s="22">
        <v>9</v>
      </c>
      <c r="R4" s="22"/>
      <c r="S4" s="22"/>
      <c r="T4" s="22"/>
      <c r="U4" s="22"/>
      <c r="V4" s="22"/>
      <c r="W4" s="22"/>
      <c r="X4" s="23"/>
      <c r="Y4" s="23"/>
      <c r="Z4" s="23"/>
      <c r="AA4" s="23"/>
      <c r="AC4" s="22" t="s">
        <v>578</v>
      </c>
      <c r="AD4" s="22">
        <v>90</v>
      </c>
      <c r="AE4" s="22" t="s">
        <v>283</v>
      </c>
      <c r="AF4" s="22">
        <v>10</v>
      </c>
      <c r="AG4" s="22"/>
      <c r="AH4" s="22"/>
      <c r="AJ4" s="23" t="s">
        <v>579</v>
      </c>
      <c r="AK4" s="23">
        <v>3</v>
      </c>
      <c r="AL4" s="23" t="s">
        <v>580</v>
      </c>
      <c r="AM4" s="23">
        <v>2</v>
      </c>
      <c r="AN4" s="23"/>
      <c r="AO4" s="23"/>
      <c r="AZ4" s="19"/>
      <c r="BA4" s="19"/>
      <c r="BB4" s="19"/>
    </row>
    <row r="5" customHeight="1" spans="1:54">
      <c r="A5" s="18" t="s">
        <v>382</v>
      </c>
      <c r="B5" s="18" t="s">
        <v>380</v>
      </c>
      <c r="D5" s="19"/>
      <c r="E5" s="19"/>
      <c r="G5" s="20" t="s">
        <v>362</v>
      </c>
      <c r="H5" s="20" t="s">
        <v>362</v>
      </c>
      <c r="J5" s="20" t="s">
        <v>581</v>
      </c>
      <c r="K5" s="20" t="s">
        <v>576</v>
      </c>
      <c r="L5" s="20"/>
      <c r="N5" s="22" t="s">
        <v>138</v>
      </c>
      <c r="O5" s="22">
        <v>5</v>
      </c>
      <c r="P5" s="22" t="s">
        <v>119</v>
      </c>
      <c r="Q5" s="22">
        <v>9</v>
      </c>
      <c r="R5" s="22"/>
      <c r="S5" s="22"/>
      <c r="T5" s="22"/>
      <c r="U5" s="22"/>
      <c r="V5" s="22"/>
      <c r="W5" s="22"/>
      <c r="X5" s="23"/>
      <c r="Y5" s="23"/>
      <c r="Z5" s="23"/>
      <c r="AA5" s="23"/>
      <c r="AC5" s="22" t="s">
        <v>287</v>
      </c>
      <c r="AD5" s="22">
        <v>100</v>
      </c>
      <c r="AE5" s="22"/>
      <c r="AF5" s="22"/>
      <c r="AG5" s="22"/>
      <c r="AH5" s="22"/>
      <c r="AJ5" s="23"/>
      <c r="AK5" s="23"/>
      <c r="AL5" s="23"/>
      <c r="AM5" s="23"/>
      <c r="AN5" s="23"/>
      <c r="AO5" s="23"/>
      <c r="AZ5" s="19"/>
      <c r="BA5" s="19"/>
      <c r="BB5" s="19"/>
    </row>
    <row r="6" customHeight="1" spans="1:54">
      <c r="A6" s="18" t="s">
        <v>383</v>
      </c>
      <c r="B6" s="18" t="s">
        <v>380</v>
      </c>
      <c r="D6" s="19"/>
      <c r="E6" s="19"/>
      <c r="G6" s="20" t="s">
        <v>362</v>
      </c>
      <c r="H6" s="20" t="s">
        <v>362</v>
      </c>
      <c r="J6" s="20"/>
      <c r="K6" s="20" t="s">
        <v>576</v>
      </c>
      <c r="L6" s="20" t="s">
        <v>577</v>
      </c>
      <c r="N6" s="22" t="s">
        <v>138</v>
      </c>
      <c r="O6" s="22">
        <v>8</v>
      </c>
      <c r="P6" s="22" t="s">
        <v>119</v>
      </c>
      <c r="Q6" s="22">
        <v>9</v>
      </c>
      <c r="R6" s="22"/>
      <c r="S6" s="22"/>
      <c r="T6" s="22"/>
      <c r="U6" s="22"/>
      <c r="V6" s="22"/>
      <c r="W6" s="22"/>
      <c r="X6" s="23"/>
      <c r="Y6" s="23"/>
      <c r="Z6" s="23"/>
      <c r="AA6" s="23"/>
      <c r="AC6" s="22" t="s">
        <v>582</v>
      </c>
      <c r="AD6" s="22">
        <v>90</v>
      </c>
      <c r="AE6" s="22" t="s">
        <v>284</v>
      </c>
      <c r="AF6" s="22">
        <v>8</v>
      </c>
      <c r="AG6" s="22" t="s">
        <v>283</v>
      </c>
      <c r="AH6" s="22">
        <v>2</v>
      </c>
      <c r="AJ6" s="23" t="s">
        <v>583</v>
      </c>
      <c r="AK6" s="23">
        <v>4</v>
      </c>
      <c r="AL6" s="23" t="s">
        <v>580</v>
      </c>
      <c r="AM6" s="23">
        <v>1</v>
      </c>
      <c r="AN6" s="23"/>
      <c r="AO6" s="23"/>
      <c r="AZ6" s="19"/>
      <c r="BA6" s="19"/>
      <c r="BB6" s="19"/>
    </row>
    <row r="7" customHeight="1" spans="1:54">
      <c r="A7" s="18" t="s">
        <v>384</v>
      </c>
      <c r="B7" s="18" t="s">
        <v>380</v>
      </c>
      <c r="D7" s="19"/>
      <c r="E7" s="19"/>
      <c r="G7" s="20" t="s">
        <v>362</v>
      </c>
      <c r="H7" s="20" t="s">
        <v>362</v>
      </c>
      <c r="J7" s="20" t="s">
        <v>575</v>
      </c>
      <c r="K7" s="20" t="s">
        <v>576</v>
      </c>
      <c r="L7" s="20" t="s">
        <v>577</v>
      </c>
      <c r="N7" s="22" t="s">
        <v>138</v>
      </c>
      <c r="O7" s="22">
        <v>8</v>
      </c>
      <c r="P7" s="22" t="s">
        <v>119</v>
      </c>
      <c r="Q7" s="22">
        <v>9</v>
      </c>
      <c r="R7" s="22"/>
      <c r="S7" s="22"/>
      <c r="T7" s="22"/>
      <c r="U7" s="22"/>
      <c r="V7" s="22"/>
      <c r="W7" s="22"/>
      <c r="X7" s="23"/>
      <c r="Y7" s="23"/>
      <c r="Z7" s="23"/>
      <c r="AA7" s="23"/>
      <c r="AC7" s="22" t="s">
        <v>582</v>
      </c>
      <c r="AD7" s="22">
        <v>90</v>
      </c>
      <c r="AE7" s="22" t="s">
        <v>284</v>
      </c>
      <c r="AF7" s="22">
        <v>10</v>
      </c>
      <c r="AG7" s="22"/>
      <c r="AH7" s="22"/>
      <c r="AJ7" s="23" t="s">
        <v>583</v>
      </c>
      <c r="AK7" s="23">
        <v>5</v>
      </c>
      <c r="AL7" s="23"/>
      <c r="AM7" s="23"/>
      <c r="AN7" s="23"/>
      <c r="AO7" s="23"/>
      <c r="AZ7" s="19"/>
      <c r="BA7" s="19"/>
      <c r="BB7" s="19"/>
    </row>
    <row r="8" customHeight="1" spans="1:54">
      <c r="A8" s="18" t="s">
        <v>385</v>
      </c>
      <c r="B8" s="18" t="s">
        <v>380</v>
      </c>
      <c r="D8" s="19"/>
      <c r="E8" s="19"/>
      <c r="G8" s="20" t="s">
        <v>362</v>
      </c>
      <c r="H8" s="20" t="s">
        <v>362</v>
      </c>
      <c r="J8" s="20"/>
      <c r="K8" s="20" t="s">
        <v>576</v>
      </c>
      <c r="L8" s="20" t="s">
        <v>577</v>
      </c>
      <c r="N8" s="22" t="s">
        <v>138</v>
      </c>
      <c r="O8" s="22">
        <v>5</v>
      </c>
      <c r="P8" s="22" t="s">
        <v>119</v>
      </c>
      <c r="Q8" s="22">
        <v>9</v>
      </c>
      <c r="R8" s="22"/>
      <c r="S8" s="22"/>
      <c r="T8" s="22"/>
      <c r="U8" s="22"/>
      <c r="V8" s="22"/>
      <c r="W8" s="22"/>
      <c r="X8" s="23"/>
      <c r="Y8" s="23"/>
      <c r="Z8" s="23"/>
      <c r="AA8" s="23"/>
      <c r="AC8" s="22" t="s">
        <v>285</v>
      </c>
      <c r="AD8" s="22">
        <v>100</v>
      </c>
      <c r="AE8" s="22"/>
      <c r="AF8" s="22"/>
      <c r="AG8" s="22"/>
      <c r="AH8" s="22"/>
      <c r="AJ8" s="23"/>
      <c r="AK8" s="23"/>
      <c r="AL8" s="23"/>
      <c r="AM8" s="23"/>
      <c r="AN8" s="23"/>
      <c r="AO8" s="23"/>
      <c r="AZ8" s="19"/>
      <c r="BA8" s="19"/>
      <c r="BB8" s="19"/>
    </row>
    <row r="9" customHeight="1" spans="1:54">
      <c r="A9" s="18" t="s">
        <v>386</v>
      </c>
      <c r="B9" s="18" t="s">
        <v>380</v>
      </c>
      <c r="D9" s="19"/>
      <c r="E9" s="19"/>
      <c r="G9" s="20" t="s">
        <v>362</v>
      </c>
      <c r="H9" s="20" t="s">
        <v>362</v>
      </c>
      <c r="J9" s="20"/>
      <c r="K9" s="20" t="s">
        <v>576</v>
      </c>
      <c r="L9" s="20" t="s">
        <v>577</v>
      </c>
      <c r="N9" s="22" t="s">
        <v>138</v>
      </c>
      <c r="O9" s="22">
        <v>5</v>
      </c>
      <c r="P9" s="22" t="s">
        <v>119</v>
      </c>
      <c r="Q9" s="22">
        <v>9</v>
      </c>
      <c r="R9" s="22"/>
      <c r="S9" s="22"/>
      <c r="T9" s="22"/>
      <c r="U9" s="22"/>
      <c r="V9" s="22"/>
      <c r="W9" s="22"/>
      <c r="X9" s="23"/>
      <c r="Y9" s="23"/>
      <c r="Z9" s="23"/>
      <c r="AA9" s="23"/>
      <c r="AC9" s="22" t="s">
        <v>295</v>
      </c>
      <c r="AD9" s="22">
        <v>60</v>
      </c>
      <c r="AE9" s="22" t="s">
        <v>584</v>
      </c>
      <c r="AF9" s="22">
        <v>40</v>
      </c>
      <c r="AG9" s="22"/>
      <c r="AH9" s="22"/>
      <c r="AJ9" s="23" t="s">
        <v>585</v>
      </c>
      <c r="AK9" s="23">
        <v>3</v>
      </c>
      <c r="AL9" s="23" t="s">
        <v>586</v>
      </c>
      <c r="AM9" s="23">
        <v>2</v>
      </c>
      <c r="AN9" s="23"/>
      <c r="AO9" s="23"/>
      <c r="AZ9" s="19"/>
      <c r="BA9" s="19"/>
      <c r="BB9" s="19"/>
    </row>
    <row r="10" customHeight="1" spans="1:54">
      <c r="A10" s="18" t="s">
        <v>387</v>
      </c>
      <c r="B10" s="18" t="s">
        <v>380</v>
      </c>
      <c r="D10" s="19"/>
      <c r="E10" s="19"/>
      <c r="G10" s="20" t="s">
        <v>362</v>
      </c>
      <c r="H10" s="20" t="s">
        <v>362</v>
      </c>
      <c r="J10" s="20"/>
      <c r="K10" s="20" t="s">
        <v>576</v>
      </c>
      <c r="L10" s="20" t="s">
        <v>577</v>
      </c>
      <c r="N10" s="22" t="s">
        <v>138</v>
      </c>
      <c r="O10" s="22">
        <v>5</v>
      </c>
      <c r="P10" s="22" t="s">
        <v>119</v>
      </c>
      <c r="Q10" s="22">
        <v>9</v>
      </c>
      <c r="R10" s="22"/>
      <c r="S10" s="22"/>
      <c r="T10" s="22"/>
      <c r="U10" s="22"/>
      <c r="V10" s="22"/>
      <c r="W10" s="22"/>
      <c r="X10" s="23"/>
      <c r="Y10" s="23"/>
      <c r="Z10" s="23"/>
      <c r="AA10" s="23"/>
      <c r="AC10" s="22" t="s">
        <v>288</v>
      </c>
      <c r="AD10" s="22">
        <v>60</v>
      </c>
      <c r="AE10" s="22" t="s">
        <v>289</v>
      </c>
      <c r="AF10" s="22">
        <v>40</v>
      </c>
      <c r="AG10" s="22"/>
      <c r="AH10" s="22"/>
      <c r="AJ10" s="23" t="s">
        <v>587</v>
      </c>
      <c r="AK10" s="23">
        <v>2</v>
      </c>
      <c r="AL10" s="23" t="s">
        <v>588</v>
      </c>
      <c r="AM10" s="23">
        <v>2</v>
      </c>
      <c r="AN10" s="23"/>
      <c r="AO10" s="23"/>
      <c r="AZ10" s="19"/>
      <c r="BA10" s="19"/>
      <c r="BB10" s="19"/>
    </row>
    <row r="11" customHeight="1" spans="1:54">
      <c r="A11" s="18" t="s">
        <v>388</v>
      </c>
      <c r="B11" s="18" t="s">
        <v>380</v>
      </c>
      <c r="D11" s="19"/>
      <c r="E11" s="19"/>
      <c r="G11" s="20" t="s">
        <v>362</v>
      </c>
      <c r="H11" s="20" t="s">
        <v>362</v>
      </c>
      <c r="J11" s="20"/>
      <c r="K11" s="20"/>
      <c r="L11" s="20" t="s">
        <v>577</v>
      </c>
      <c r="N11" s="22" t="s">
        <v>138</v>
      </c>
      <c r="O11" s="22">
        <v>5</v>
      </c>
      <c r="P11" s="22" t="s">
        <v>119</v>
      </c>
      <c r="Q11" s="22">
        <v>9</v>
      </c>
      <c r="R11" s="22"/>
      <c r="S11" s="22"/>
      <c r="T11" s="22"/>
      <c r="U11" s="22"/>
      <c r="V11" s="22"/>
      <c r="W11" s="22"/>
      <c r="X11" s="23"/>
      <c r="Y11" s="23"/>
      <c r="Z11" s="23"/>
      <c r="AA11" s="23"/>
      <c r="AC11" s="22"/>
      <c r="AD11" s="22"/>
      <c r="AE11" s="22"/>
      <c r="AF11" s="22"/>
      <c r="AG11" s="22"/>
      <c r="AH11" s="22"/>
      <c r="AJ11" s="23"/>
      <c r="AK11" s="23"/>
      <c r="AL11" s="23"/>
      <c r="AM11" s="23"/>
      <c r="AN11" s="23"/>
      <c r="AO11" s="23"/>
      <c r="AZ11" s="19"/>
      <c r="BA11" s="19"/>
      <c r="BB11" s="19"/>
    </row>
    <row r="12" customHeight="1" spans="1:54">
      <c r="A12" s="21" t="s">
        <v>375</v>
      </c>
      <c r="B12" s="21" t="s">
        <v>374</v>
      </c>
      <c r="D12" s="19"/>
      <c r="E12" s="19"/>
      <c r="G12" s="20" t="s">
        <v>362</v>
      </c>
      <c r="H12" s="20" t="s">
        <v>362</v>
      </c>
      <c r="J12" s="20"/>
      <c r="K12" s="20"/>
      <c r="L12" s="20"/>
      <c r="N12" s="22" t="s">
        <v>23</v>
      </c>
      <c r="O12" s="22">
        <v>3</v>
      </c>
      <c r="P12" s="22" t="s">
        <v>589</v>
      </c>
      <c r="Q12" s="22">
        <v>3</v>
      </c>
      <c r="R12" s="22"/>
      <c r="S12" s="22"/>
      <c r="T12" s="22"/>
      <c r="U12" s="22"/>
      <c r="V12" s="22"/>
      <c r="W12" s="22"/>
      <c r="X12" s="23"/>
      <c r="Y12" s="23"/>
      <c r="Z12" s="23"/>
      <c r="AA12" s="23"/>
      <c r="AC12" s="22"/>
      <c r="AD12" s="22"/>
      <c r="AE12" s="22"/>
      <c r="AF12" s="22"/>
      <c r="AG12" s="22"/>
      <c r="AH12" s="22"/>
      <c r="AJ12" s="23"/>
      <c r="AK12" s="23"/>
      <c r="AL12" s="23"/>
      <c r="AM12" s="23"/>
      <c r="AN12" s="23"/>
      <c r="AO12" s="23"/>
      <c r="AZ12" s="19"/>
      <c r="BA12" s="19"/>
      <c r="BB12" s="19"/>
    </row>
    <row r="13" customHeight="1" spans="1:54">
      <c r="A13" s="21" t="s">
        <v>376</v>
      </c>
      <c r="B13" s="21" t="s">
        <v>374</v>
      </c>
      <c r="D13" s="19"/>
      <c r="E13" s="19"/>
      <c r="G13" s="20" t="s">
        <v>362</v>
      </c>
      <c r="H13" s="20" t="s">
        <v>362</v>
      </c>
      <c r="J13" s="20"/>
      <c r="K13" s="20"/>
      <c r="L13" s="20"/>
      <c r="N13" s="22" t="s">
        <v>23</v>
      </c>
      <c r="O13" s="22">
        <v>3</v>
      </c>
      <c r="P13" s="22" t="s">
        <v>589</v>
      </c>
      <c r="Q13" s="22">
        <v>3</v>
      </c>
      <c r="R13" s="22"/>
      <c r="S13" s="22"/>
      <c r="T13" s="22"/>
      <c r="U13" s="22"/>
      <c r="V13" s="22"/>
      <c r="W13" s="22"/>
      <c r="X13" s="23"/>
      <c r="Y13" s="23"/>
      <c r="Z13" s="23" t="s">
        <v>590</v>
      </c>
      <c r="AA13" s="23">
        <v>50</v>
      </c>
      <c r="AC13" s="22" t="s">
        <v>295</v>
      </c>
      <c r="AD13" s="22">
        <v>4900</v>
      </c>
      <c r="AE13" s="22"/>
      <c r="AF13" s="22"/>
      <c r="AG13" s="22"/>
      <c r="AH13" s="22"/>
      <c r="AJ13" s="23"/>
      <c r="AK13" s="23"/>
      <c r="AL13" s="23"/>
      <c r="AM13" s="23"/>
      <c r="AN13" s="23"/>
      <c r="AO13" s="23"/>
      <c r="AZ13" s="19"/>
      <c r="BA13" s="19"/>
      <c r="BB13" s="19"/>
    </row>
    <row r="14" customHeight="1" spans="1:54">
      <c r="A14" s="21" t="s">
        <v>377</v>
      </c>
      <c r="B14" s="21" t="s">
        <v>374</v>
      </c>
      <c r="D14" s="19"/>
      <c r="E14" s="19"/>
      <c r="G14" s="20" t="s">
        <v>362</v>
      </c>
      <c r="H14" s="20" t="s">
        <v>362</v>
      </c>
      <c r="J14" s="20"/>
      <c r="K14" s="20"/>
      <c r="L14" s="20"/>
      <c r="N14" s="22" t="s">
        <v>23</v>
      </c>
      <c r="O14" s="22">
        <v>25</v>
      </c>
      <c r="P14" s="22" t="s">
        <v>589</v>
      </c>
      <c r="Q14" s="22">
        <v>35</v>
      </c>
      <c r="R14" s="22"/>
      <c r="S14" s="22"/>
      <c r="T14" s="22"/>
      <c r="U14" s="22"/>
      <c r="V14" s="22"/>
      <c r="W14" s="22"/>
      <c r="X14" s="23" t="s">
        <v>25</v>
      </c>
      <c r="Y14" s="23">
        <v>70</v>
      </c>
      <c r="Z14" s="23" t="s">
        <v>590</v>
      </c>
      <c r="AA14" s="23">
        <v>40</v>
      </c>
      <c r="AC14" s="22" t="s">
        <v>295</v>
      </c>
      <c r="AD14" s="22">
        <v>4000</v>
      </c>
      <c r="AE14" s="22" t="s">
        <v>584</v>
      </c>
      <c r="AF14" s="22">
        <v>650</v>
      </c>
      <c r="AG14" s="22" t="s">
        <v>288</v>
      </c>
      <c r="AH14" s="22">
        <v>300</v>
      </c>
      <c r="AJ14" s="23"/>
      <c r="AK14" s="23"/>
      <c r="AL14" s="23"/>
      <c r="AM14" s="23"/>
      <c r="AN14" s="23"/>
      <c r="AO14" s="23"/>
      <c r="AZ14" s="19"/>
      <c r="BA14" s="19"/>
      <c r="BB14" s="19"/>
    </row>
    <row r="15" customHeight="1" spans="1:54">
      <c r="A15" s="21" t="s">
        <v>378</v>
      </c>
      <c r="B15" s="21" t="s">
        <v>374</v>
      </c>
      <c r="D15" s="19"/>
      <c r="E15" s="19"/>
      <c r="G15" s="20" t="s">
        <v>362</v>
      </c>
      <c r="H15" s="20" t="s">
        <v>362</v>
      </c>
      <c r="J15" s="20"/>
      <c r="K15" s="20"/>
      <c r="L15" s="20"/>
      <c r="N15" s="22" t="s">
        <v>23</v>
      </c>
      <c r="O15" s="22">
        <v>35</v>
      </c>
      <c r="P15" s="22" t="s">
        <v>589</v>
      </c>
      <c r="Q15" s="22">
        <v>55</v>
      </c>
      <c r="R15" s="22"/>
      <c r="S15" s="22"/>
      <c r="T15" s="22"/>
      <c r="U15" s="22"/>
      <c r="V15" s="22"/>
      <c r="W15" s="22"/>
      <c r="X15" s="23" t="s">
        <v>25</v>
      </c>
      <c r="Y15" s="23">
        <v>90</v>
      </c>
      <c r="Z15" s="23" t="s">
        <v>590</v>
      </c>
      <c r="AA15" s="23">
        <v>45</v>
      </c>
      <c r="AC15" s="22" t="s">
        <v>295</v>
      </c>
      <c r="AD15" s="22">
        <v>3500</v>
      </c>
      <c r="AE15" s="22" t="s">
        <v>584</v>
      </c>
      <c r="AF15" s="22">
        <v>1000</v>
      </c>
      <c r="AG15" s="22" t="s">
        <v>288</v>
      </c>
      <c r="AH15" s="22">
        <v>450</v>
      </c>
      <c r="AJ15" s="23"/>
      <c r="AK15" s="23"/>
      <c r="AL15" s="23"/>
      <c r="AM15" s="23"/>
      <c r="AN15" s="23"/>
      <c r="AO15" s="23"/>
      <c r="AZ15" s="19"/>
      <c r="BA15" s="19"/>
      <c r="BB15" s="19"/>
    </row>
    <row r="16" customHeight="1" spans="1:54">
      <c r="A16" s="21" t="s">
        <v>379</v>
      </c>
      <c r="B16" s="21" t="s">
        <v>374</v>
      </c>
      <c r="D16" s="19"/>
      <c r="E16" s="19"/>
      <c r="G16" s="20" t="s">
        <v>362</v>
      </c>
      <c r="H16" s="20" t="s">
        <v>362</v>
      </c>
      <c r="J16" s="20"/>
      <c r="K16" s="20"/>
      <c r="L16" s="20"/>
      <c r="N16" s="22" t="s">
        <v>23</v>
      </c>
      <c r="O16" s="22">
        <v>40</v>
      </c>
      <c r="P16" s="22" t="s">
        <v>589</v>
      </c>
      <c r="Q16" s="22">
        <v>75</v>
      </c>
      <c r="R16" s="22"/>
      <c r="S16" s="22"/>
      <c r="T16" s="22"/>
      <c r="U16" s="22"/>
      <c r="V16" s="22"/>
      <c r="W16" s="22"/>
      <c r="X16" s="23" t="s">
        <v>25</v>
      </c>
      <c r="Y16" s="23">
        <v>110</v>
      </c>
      <c r="Z16" s="23" t="s">
        <v>590</v>
      </c>
      <c r="AA16" s="23">
        <v>50</v>
      </c>
      <c r="AC16" s="22" t="s">
        <v>295</v>
      </c>
      <c r="AD16" s="22">
        <v>3000</v>
      </c>
      <c r="AE16" s="22" t="s">
        <v>584</v>
      </c>
      <c r="AF16" s="22">
        <v>1250</v>
      </c>
      <c r="AG16" s="22" t="s">
        <v>288</v>
      </c>
      <c r="AH16" s="22">
        <v>700</v>
      </c>
      <c r="AJ16" s="23"/>
      <c r="AK16" s="23"/>
      <c r="AL16" s="23"/>
      <c r="AM16" s="23"/>
      <c r="AN16" s="23"/>
      <c r="AO16" s="23"/>
      <c r="AZ16" s="19"/>
      <c r="BA16" s="19"/>
      <c r="BB16" s="19"/>
    </row>
    <row r="17" customHeight="1" spans="1:54">
      <c r="A17" s="21" t="s">
        <v>390</v>
      </c>
      <c r="B17" s="21" t="s">
        <v>389</v>
      </c>
      <c r="D17" s="19"/>
      <c r="E17" s="19"/>
      <c r="G17" s="20" t="s">
        <v>362</v>
      </c>
      <c r="H17" s="20" t="s">
        <v>362</v>
      </c>
      <c r="J17" s="20"/>
      <c r="K17" s="20"/>
      <c r="L17" s="20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3"/>
      <c r="Y17" s="23"/>
      <c r="Z17" s="23"/>
      <c r="AA17" s="23"/>
      <c r="AC17" s="22"/>
      <c r="AD17" s="22"/>
      <c r="AE17" s="22"/>
      <c r="AF17" s="22"/>
      <c r="AG17" s="22"/>
      <c r="AH17" s="22"/>
      <c r="AJ17" s="23"/>
      <c r="AK17" s="23"/>
      <c r="AL17" s="23"/>
      <c r="AM17" s="23"/>
      <c r="AN17" s="23"/>
      <c r="AO17" s="23"/>
      <c r="AZ17" s="19"/>
      <c r="BA17" s="19"/>
      <c r="BB17" s="19"/>
    </row>
    <row r="18" customHeight="1" spans="1:54">
      <c r="A18" s="21" t="s">
        <v>391</v>
      </c>
      <c r="B18" s="21" t="s">
        <v>389</v>
      </c>
      <c r="D18" s="19"/>
      <c r="E18" s="19"/>
      <c r="G18" s="20" t="s">
        <v>362</v>
      </c>
      <c r="H18" s="20" t="s">
        <v>362</v>
      </c>
      <c r="J18" s="20"/>
      <c r="K18" s="20"/>
      <c r="L18" s="20"/>
      <c r="N18" s="22" t="s">
        <v>23</v>
      </c>
      <c r="O18" s="22">
        <v>0</v>
      </c>
      <c r="P18" s="22" t="s">
        <v>589</v>
      </c>
      <c r="Q18" s="22">
        <v>35</v>
      </c>
      <c r="R18" s="22" t="s">
        <v>89</v>
      </c>
      <c r="S18" s="22">
        <v>20</v>
      </c>
      <c r="T18" s="22"/>
      <c r="U18" s="22"/>
      <c r="V18" s="22"/>
      <c r="W18" s="22"/>
      <c r="X18" s="23" t="s">
        <v>25</v>
      </c>
      <c r="Y18" s="23">
        <v>85</v>
      </c>
      <c r="Z18" s="23" t="s">
        <v>590</v>
      </c>
      <c r="AA18" s="23">
        <v>45</v>
      </c>
      <c r="AC18" s="22" t="s">
        <v>295</v>
      </c>
      <c r="AD18" s="22">
        <v>750</v>
      </c>
      <c r="AE18" s="22"/>
      <c r="AF18" s="22"/>
      <c r="AG18" s="22" t="s">
        <v>289</v>
      </c>
      <c r="AH18" s="22">
        <v>250</v>
      </c>
      <c r="AJ18" s="23"/>
      <c r="AK18" s="23"/>
      <c r="AL18" s="23"/>
      <c r="AM18" s="23"/>
      <c r="AN18" s="23"/>
      <c r="AO18" s="23"/>
      <c r="AZ18" s="19"/>
      <c r="BA18" s="19"/>
      <c r="BB18" s="19"/>
    </row>
    <row r="19" customHeight="1" spans="1:54">
      <c r="A19" s="21" t="s">
        <v>392</v>
      </c>
      <c r="B19" s="21" t="s">
        <v>389</v>
      </c>
      <c r="D19" s="19"/>
      <c r="E19" s="19"/>
      <c r="G19" s="20" t="s">
        <v>362</v>
      </c>
      <c r="H19" s="20" t="s">
        <v>362</v>
      </c>
      <c r="J19" s="20"/>
      <c r="K19" s="20"/>
      <c r="L19" s="20"/>
      <c r="N19" s="22" t="s">
        <v>23</v>
      </c>
      <c r="O19" s="22">
        <v>0</v>
      </c>
      <c r="P19" s="22" t="s">
        <v>589</v>
      </c>
      <c r="Q19" s="22">
        <v>45</v>
      </c>
      <c r="R19" s="22" t="s">
        <v>89</v>
      </c>
      <c r="S19" s="22">
        <v>25</v>
      </c>
      <c r="T19" s="22"/>
      <c r="U19" s="22"/>
      <c r="V19" s="22"/>
      <c r="W19" s="22"/>
      <c r="X19" s="23" t="s">
        <v>25</v>
      </c>
      <c r="Y19" s="23">
        <v>105</v>
      </c>
      <c r="Z19" s="23" t="s">
        <v>590</v>
      </c>
      <c r="AA19" s="23">
        <v>50</v>
      </c>
      <c r="AC19" s="22" t="s">
        <v>295</v>
      </c>
      <c r="AD19" s="22">
        <v>500</v>
      </c>
      <c r="AE19" s="22"/>
      <c r="AF19" s="22"/>
      <c r="AG19" s="22" t="s">
        <v>289</v>
      </c>
      <c r="AH19" s="22">
        <v>500</v>
      </c>
      <c r="AJ19" s="23"/>
      <c r="AK19" s="23"/>
      <c r="AL19" s="23"/>
      <c r="AM19" s="23"/>
      <c r="AN19" s="23"/>
      <c r="AO19" s="23"/>
      <c r="AZ19" s="19"/>
      <c r="BA19" s="19"/>
      <c r="BB19" s="19"/>
    </row>
    <row r="20" customHeight="1" spans="1:54">
      <c r="A20" s="21" t="s">
        <v>393</v>
      </c>
      <c r="B20" s="21" t="s">
        <v>389</v>
      </c>
      <c r="D20" s="19"/>
      <c r="E20" s="19"/>
      <c r="G20" s="20" t="s">
        <v>362</v>
      </c>
      <c r="H20" s="20" t="s">
        <v>362</v>
      </c>
      <c r="J20" s="20"/>
      <c r="K20" s="20"/>
      <c r="L20" s="20"/>
      <c r="N20" s="22" t="s">
        <v>23</v>
      </c>
      <c r="O20" s="22">
        <v>0</v>
      </c>
      <c r="P20" s="22" t="s">
        <v>589</v>
      </c>
      <c r="Q20" s="22">
        <v>55</v>
      </c>
      <c r="R20" s="22" t="s">
        <v>89</v>
      </c>
      <c r="S20" s="22">
        <v>30</v>
      </c>
      <c r="T20" s="22"/>
      <c r="U20" s="22"/>
      <c r="V20" s="22"/>
      <c r="W20" s="22"/>
      <c r="X20" s="23" t="s">
        <v>25</v>
      </c>
      <c r="Y20" s="23">
        <v>120</v>
      </c>
      <c r="Z20" s="23" t="s">
        <v>590</v>
      </c>
      <c r="AA20" s="23">
        <v>55</v>
      </c>
      <c r="AC20" s="22" t="s">
        <v>295</v>
      </c>
      <c r="AD20" s="22">
        <v>250</v>
      </c>
      <c r="AE20" s="22"/>
      <c r="AF20" s="22"/>
      <c r="AG20" s="22" t="s">
        <v>289</v>
      </c>
      <c r="AH20" s="22">
        <v>750</v>
      </c>
      <c r="AJ20" s="23"/>
      <c r="AK20" s="23"/>
      <c r="AL20" s="23"/>
      <c r="AM20" s="23"/>
      <c r="AN20" s="23"/>
      <c r="AO20" s="23"/>
      <c r="AZ20" s="19"/>
      <c r="BA20" s="19"/>
      <c r="BB20" s="19"/>
    </row>
    <row r="21" customHeight="1" spans="1:54">
      <c r="A21" s="21" t="s">
        <v>395</v>
      </c>
      <c r="B21" s="21" t="s">
        <v>394</v>
      </c>
      <c r="D21" s="19"/>
      <c r="E21" s="19"/>
      <c r="G21" s="20" t="s">
        <v>362</v>
      </c>
      <c r="H21" s="20" t="s">
        <v>362</v>
      </c>
      <c r="J21" s="20"/>
      <c r="K21" s="20"/>
      <c r="L21" s="20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3"/>
      <c r="Y21" s="23"/>
      <c r="Z21" s="23"/>
      <c r="AA21" s="23"/>
      <c r="AC21" s="22"/>
      <c r="AD21" s="22"/>
      <c r="AE21" s="22"/>
      <c r="AF21" s="22"/>
      <c r="AG21" s="22"/>
      <c r="AH21" s="22"/>
      <c r="AJ21" s="23"/>
      <c r="AK21" s="23"/>
      <c r="AL21" s="23"/>
      <c r="AM21" s="23"/>
      <c r="AN21" s="23"/>
      <c r="AO21" s="23"/>
      <c r="AZ21" s="19"/>
      <c r="BA21" s="19"/>
      <c r="BB21" s="19"/>
    </row>
    <row r="22" customHeight="1" spans="1:54">
      <c r="A22" s="21" t="s">
        <v>396</v>
      </c>
      <c r="B22" s="21" t="s">
        <v>394</v>
      </c>
      <c r="D22" s="19"/>
      <c r="E22" s="19"/>
      <c r="G22" s="20" t="s">
        <v>377</v>
      </c>
      <c r="H22" s="20" t="s">
        <v>362</v>
      </c>
      <c r="J22" s="20"/>
      <c r="K22" s="20"/>
      <c r="L22" s="20"/>
      <c r="N22" s="22" t="s">
        <v>23</v>
      </c>
      <c r="O22" s="22">
        <v>3</v>
      </c>
      <c r="P22" s="22" t="s">
        <v>589</v>
      </c>
      <c r="Q22" s="22">
        <v>0</v>
      </c>
      <c r="R22" s="22" t="s">
        <v>116</v>
      </c>
      <c r="S22" s="22">
        <v>3</v>
      </c>
      <c r="T22" s="22"/>
      <c r="U22" s="22"/>
      <c r="V22" s="22"/>
      <c r="W22" s="22"/>
      <c r="X22" s="23"/>
      <c r="Y22" s="23"/>
      <c r="Z22" s="23"/>
      <c r="AA22" s="23"/>
      <c r="AC22" s="22" t="s">
        <v>295</v>
      </c>
      <c r="AD22" s="22">
        <v>-750</v>
      </c>
      <c r="AE22" s="22" t="s">
        <v>584</v>
      </c>
      <c r="AF22" s="22">
        <v>150</v>
      </c>
      <c r="AG22" s="22" t="s">
        <v>288</v>
      </c>
      <c r="AH22" s="22">
        <v>50</v>
      </c>
      <c r="AJ22" s="23"/>
      <c r="AK22" s="23"/>
      <c r="AL22" s="23"/>
      <c r="AM22" s="23"/>
      <c r="AN22" s="23"/>
      <c r="AO22" s="23"/>
      <c r="AZ22" s="19"/>
      <c r="BA22" s="19"/>
      <c r="BB22" s="19"/>
    </row>
    <row r="23" customHeight="1" spans="1:54">
      <c r="A23" s="21" t="s">
        <v>397</v>
      </c>
      <c r="B23" s="21" t="s">
        <v>394</v>
      </c>
      <c r="D23" s="19"/>
      <c r="E23" s="19"/>
      <c r="G23" s="20" t="s">
        <v>378</v>
      </c>
      <c r="H23" s="20" t="s">
        <v>362</v>
      </c>
      <c r="J23" s="20"/>
      <c r="K23" s="20"/>
      <c r="L23" s="20"/>
      <c r="N23" s="22" t="s">
        <v>23</v>
      </c>
      <c r="O23" s="22">
        <v>10</v>
      </c>
      <c r="P23" s="22" t="s">
        <v>589</v>
      </c>
      <c r="Q23" s="22">
        <v>0</v>
      </c>
      <c r="R23" s="22" t="s">
        <v>116</v>
      </c>
      <c r="S23" s="22">
        <v>5</v>
      </c>
      <c r="T23" s="22"/>
      <c r="U23" s="22"/>
      <c r="V23" s="22"/>
      <c r="W23" s="22"/>
      <c r="X23" s="23"/>
      <c r="Y23" s="23"/>
      <c r="Z23" s="23"/>
      <c r="AA23" s="23"/>
      <c r="AC23" s="22" t="s">
        <v>295</v>
      </c>
      <c r="AD23" s="22">
        <v>-1250</v>
      </c>
      <c r="AE23" s="22" t="s">
        <v>584</v>
      </c>
      <c r="AF23" s="22">
        <v>50</v>
      </c>
      <c r="AG23" s="22" t="s">
        <v>288</v>
      </c>
      <c r="AH23" s="22">
        <v>150</v>
      </c>
      <c r="AJ23" s="23"/>
      <c r="AK23" s="23"/>
      <c r="AL23" s="23"/>
      <c r="AM23" s="23"/>
      <c r="AN23" s="23"/>
      <c r="AO23" s="23"/>
      <c r="AZ23" s="19"/>
      <c r="BA23" s="19"/>
      <c r="BB23" s="19"/>
    </row>
    <row r="24" customHeight="1" spans="1:54">
      <c r="A24" s="21" t="s">
        <v>591</v>
      </c>
      <c r="B24" s="21" t="s">
        <v>398</v>
      </c>
      <c r="D24" s="19"/>
      <c r="E24" s="19"/>
      <c r="G24" s="20" t="s">
        <v>362</v>
      </c>
      <c r="H24" s="20" t="s">
        <v>362</v>
      </c>
      <c r="J24" s="20"/>
      <c r="K24" s="20"/>
      <c r="L24" s="20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3"/>
      <c r="Y24" s="23"/>
      <c r="Z24" s="23"/>
      <c r="AA24" s="23"/>
      <c r="AC24" s="22"/>
      <c r="AD24" s="22"/>
      <c r="AE24" s="22"/>
      <c r="AF24" s="22"/>
      <c r="AG24" s="22"/>
      <c r="AH24" s="22"/>
      <c r="AJ24" s="23"/>
      <c r="AK24" s="23"/>
      <c r="AL24" s="23"/>
      <c r="AM24" s="23"/>
      <c r="AN24" s="23"/>
      <c r="AO24" s="23"/>
      <c r="AZ24" s="19"/>
      <c r="BA24" s="19"/>
      <c r="BB24" s="19"/>
    </row>
    <row r="25" customHeight="1" spans="1:54">
      <c r="A25" s="21" t="s">
        <v>400</v>
      </c>
      <c r="B25" s="21" t="s">
        <v>398</v>
      </c>
      <c r="D25" s="19"/>
      <c r="E25" s="19"/>
      <c r="G25" s="20" t="s">
        <v>391</v>
      </c>
      <c r="H25" s="20" t="s">
        <v>362</v>
      </c>
      <c r="J25" s="20" t="s">
        <v>592</v>
      </c>
      <c r="K25" s="20" t="s">
        <v>593</v>
      </c>
      <c r="L25" s="20"/>
      <c r="N25" s="22" t="s">
        <v>23</v>
      </c>
      <c r="O25" s="22">
        <v>0</v>
      </c>
      <c r="P25" s="22" t="s">
        <v>89</v>
      </c>
      <c r="Q25" s="22">
        <v>1</v>
      </c>
      <c r="R25" s="22" t="s">
        <v>116</v>
      </c>
      <c r="S25" s="22">
        <v>1</v>
      </c>
      <c r="T25" s="22" t="s">
        <v>118</v>
      </c>
      <c r="U25" s="22">
        <v>1</v>
      </c>
      <c r="V25" s="22"/>
      <c r="W25" s="22"/>
      <c r="X25" s="23"/>
      <c r="Y25" s="23"/>
      <c r="Z25" s="23"/>
      <c r="AA25" s="23"/>
      <c r="AC25" s="22" t="s">
        <v>295</v>
      </c>
      <c r="AD25" s="22">
        <v>-500</v>
      </c>
      <c r="AE25" s="22" t="s">
        <v>288</v>
      </c>
      <c r="AF25" s="22">
        <v>0</v>
      </c>
      <c r="AG25" s="22" t="s">
        <v>289</v>
      </c>
      <c r="AH25" s="22">
        <v>50</v>
      </c>
      <c r="AJ25" s="23"/>
      <c r="AK25" s="23"/>
      <c r="AL25" s="23"/>
      <c r="AM25" s="23"/>
      <c r="AN25" s="23"/>
      <c r="AO25" s="23"/>
      <c r="AZ25" s="19"/>
      <c r="BA25" s="19"/>
      <c r="BB25" s="19"/>
    </row>
    <row r="26" customHeight="1" spans="1:54">
      <c r="A26" s="21" t="s">
        <v>372</v>
      </c>
      <c r="B26" s="21" t="s">
        <v>398</v>
      </c>
      <c r="D26" s="19"/>
      <c r="E26" s="19"/>
      <c r="G26" s="20" t="s">
        <v>392</v>
      </c>
      <c r="H26" s="20" t="s">
        <v>362</v>
      </c>
      <c r="J26" s="20" t="s">
        <v>592</v>
      </c>
      <c r="K26" s="20" t="s">
        <v>593</v>
      </c>
      <c r="L26" s="20"/>
      <c r="N26" s="22" t="s">
        <v>23</v>
      </c>
      <c r="O26" s="22">
        <v>0</v>
      </c>
      <c r="P26" s="22" t="s">
        <v>89</v>
      </c>
      <c r="Q26" s="22">
        <v>2</v>
      </c>
      <c r="R26" s="22" t="s">
        <v>116</v>
      </c>
      <c r="S26" s="22">
        <v>1</v>
      </c>
      <c r="T26" s="22" t="s">
        <v>118</v>
      </c>
      <c r="U26" s="22">
        <v>2</v>
      </c>
      <c r="V26" s="22"/>
      <c r="W26" s="22"/>
      <c r="X26" s="23"/>
      <c r="Y26" s="23"/>
      <c r="Z26" s="23"/>
      <c r="AA26" s="23"/>
      <c r="AC26" s="22" t="s">
        <v>295</v>
      </c>
      <c r="AD26" s="22">
        <v>-1000</v>
      </c>
      <c r="AE26" s="22" t="s">
        <v>288</v>
      </c>
      <c r="AF26" s="22">
        <v>0</v>
      </c>
      <c r="AG26" s="22" t="s">
        <v>289</v>
      </c>
      <c r="AH26" s="22">
        <v>100</v>
      </c>
      <c r="AJ26" s="23"/>
      <c r="AK26" s="23"/>
      <c r="AL26" s="23"/>
      <c r="AM26" s="23"/>
      <c r="AN26" s="23"/>
      <c r="AO26" s="23"/>
      <c r="AZ26" s="19"/>
      <c r="BA26" s="19"/>
      <c r="BB26" s="19"/>
    </row>
    <row r="27" customHeight="1" spans="1:54">
      <c r="A27" s="21" t="s">
        <v>401</v>
      </c>
      <c r="B27" s="21" t="s">
        <v>398</v>
      </c>
      <c r="D27" s="19"/>
      <c r="E27" s="19"/>
      <c r="G27" s="20" t="s">
        <v>393</v>
      </c>
      <c r="H27" s="20" t="s">
        <v>362</v>
      </c>
      <c r="J27" s="20" t="s">
        <v>592</v>
      </c>
      <c r="K27" s="20" t="s">
        <v>593</v>
      </c>
      <c r="L27" s="20"/>
      <c r="N27" s="22" t="s">
        <v>23</v>
      </c>
      <c r="O27" s="22">
        <v>0</v>
      </c>
      <c r="P27" s="22" t="s">
        <v>89</v>
      </c>
      <c r="Q27" s="22">
        <v>3</v>
      </c>
      <c r="R27" s="22" t="s">
        <v>116</v>
      </c>
      <c r="S27" s="22">
        <v>1</v>
      </c>
      <c r="T27" s="22" t="s">
        <v>118</v>
      </c>
      <c r="U27" s="22">
        <v>3</v>
      </c>
      <c r="V27" s="22"/>
      <c r="W27" s="22"/>
      <c r="X27" s="23"/>
      <c r="Y27" s="23"/>
      <c r="Z27" s="23"/>
      <c r="AA27" s="23"/>
      <c r="AC27" s="22" t="s">
        <v>295</v>
      </c>
      <c r="AD27" s="22">
        <v>-2000</v>
      </c>
      <c r="AE27" s="22" t="s">
        <v>288</v>
      </c>
      <c r="AF27" s="22">
        <v>0</v>
      </c>
      <c r="AG27" s="22" t="s">
        <v>289</v>
      </c>
      <c r="AH27" s="22">
        <v>150</v>
      </c>
      <c r="AJ27" s="23"/>
      <c r="AK27" s="23"/>
      <c r="AL27" s="23"/>
      <c r="AM27" s="23"/>
      <c r="AN27" s="23"/>
      <c r="AO27" s="23"/>
      <c r="AZ27" s="19"/>
      <c r="BA27" s="19"/>
      <c r="BB27" s="19"/>
    </row>
    <row r="28" customHeight="1" spans="1:54">
      <c r="A28" s="21" t="s">
        <v>594</v>
      </c>
      <c r="B28" s="21" t="s">
        <v>402</v>
      </c>
      <c r="D28" s="19"/>
      <c r="E28" s="19"/>
      <c r="G28" s="20" t="s">
        <v>362</v>
      </c>
      <c r="H28" s="20" t="s">
        <v>362</v>
      </c>
      <c r="J28" s="20"/>
      <c r="K28" s="20"/>
      <c r="L28" s="20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3"/>
      <c r="Y28" s="23"/>
      <c r="Z28" s="23"/>
      <c r="AA28" s="23"/>
      <c r="AC28" s="22"/>
      <c r="AD28" s="22"/>
      <c r="AE28" s="22"/>
      <c r="AF28" s="22"/>
      <c r="AG28" s="22"/>
      <c r="AH28" s="22"/>
      <c r="AJ28" s="23"/>
      <c r="AK28" s="23"/>
      <c r="AL28" s="23"/>
      <c r="AM28" s="23"/>
      <c r="AN28" s="23"/>
      <c r="AO28" s="23"/>
      <c r="AZ28" s="19"/>
      <c r="BA28" s="19"/>
      <c r="BB28" s="19"/>
    </row>
    <row r="29" customHeight="1" spans="1:54">
      <c r="A29" s="21" t="s">
        <v>404</v>
      </c>
      <c r="B29" s="21" t="s">
        <v>402</v>
      </c>
      <c r="D29" s="19"/>
      <c r="E29" s="19"/>
      <c r="G29" s="20" t="s">
        <v>397</v>
      </c>
      <c r="H29" s="20" t="s">
        <v>401</v>
      </c>
      <c r="J29" s="20" t="s">
        <v>595</v>
      </c>
      <c r="K29" s="20"/>
      <c r="L29" s="20"/>
      <c r="N29" s="22" t="s">
        <v>23</v>
      </c>
      <c r="O29" s="22">
        <v>5</v>
      </c>
      <c r="P29" s="22" t="s">
        <v>89</v>
      </c>
      <c r="Q29" s="22">
        <v>1</v>
      </c>
      <c r="R29" s="22" t="s">
        <v>116</v>
      </c>
      <c r="S29" s="22">
        <v>3</v>
      </c>
      <c r="T29" s="22" t="s">
        <v>118</v>
      </c>
      <c r="U29" s="22">
        <v>1</v>
      </c>
      <c r="V29" s="22" t="s">
        <v>83</v>
      </c>
      <c r="W29" s="22">
        <v>1</v>
      </c>
      <c r="X29" s="23"/>
      <c r="Y29" s="23"/>
      <c r="Z29" s="23"/>
      <c r="AA29" s="23"/>
      <c r="AC29" s="22" t="s">
        <v>584</v>
      </c>
      <c r="AD29" s="22">
        <v>-1250</v>
      </c>
      <c r="AE29" s="22" t="s">
        <v>288</v>
      </c>
      <c r="AF29" s="22">
        <v>250</v>
      </c>
      <c r="AG29" s="22" t="s">
        <v>289</v>
      </c>
      <c r="AH29" s="22">
        <v>250</v>
      </c>
      <c r="AJ29" s="23"/>
      <c r="AK29" s="23"/>
      <c r="AL29" s="23"/>
      <c r="AM29" s="23"/>
      <c r="AN29" s="23"/>
      <c r="AO29" s="23"/>
      <c r="AZ29" s="19"/>
      <c r="BA29" s="19"/>
      <c r="BB29" s="19"/>
    </row>
    <row r="30" customHeight="1" spans="1:54">
      <c r="A30" s="18" t="s">
        <v>406</v>
      </c>
      <c r="B30" s="18" t="s">
        <v>405</v>
      </c>
      <c r="D30" s="19"/>
      <c r="E30" s="19"/>
      <c r="G30" s="20" t="s">
        <v>362</v>
      </c>
      <c r="H30" s="20" t="s">
        <v>362</v>
      </c>
      <c r="J30" s="20"/>
      <c r="K30" s="20"/>
      <c r="L30" s="20"/>
      <c r="N30" s="22" t="s">
        <v>25</v>
      </c>
      <c r="O30" s="22">
        <v>20</v>
      </c>
      <c r="P30" s="22"/>
      <c r="Q30" s="22"/>
      <c r="R30" s="22"/>
      <c r="S30" s="22"/>
      <c r="T30" s="22"/>
      <c r="U30" s="22"/>
      <c r="V30" s="22"/>
      <c r="W30" s="22"/>
      <c r="X30" s="23" t="s">
        <v>596</v>
      </c>
      <c r="Y30" s="23">
        <v>80</v>
      </c>
      <c r="Z30" s="23"/>
      <c r="AA30" s="23"/>
      <c r="AC30" s="22" t="s">
        <v>295</v>
      </c>
      <c r="AD30" s="22">
        <v>4900</v>
      </c>
      <c r="AE30" s="22"/>
      <c r="AF30" s="22"/>
      <c r="AG30" s="22"/>
      <c r="AH30" s="22"/>
      <c r="AJ30" s="23"/>
      <c r="AK30" s="23"/>
      <c r="AL30" s="23"/>
      <c r="AM30" s="23"/>
      <c r="AN30" s="23"/>
      <c r="AO30" s="23"/>
      <c r="AZ30" s="19"/>
      <c r="BA30" s="19"/>
      <c r="BB30" s="19"/>
    </row>
    <row r="31" customHeight="1" spans="1:54">
      <c r="A31" s="18" t="s">
        <v>407</v>
      </c>
      <c r="B31" s="18" t="s">
        <v>405</v>
      </c>
      <c r="D31" s="19"/>
      <c r="E31" s="19"/>
      <c r="G31" s="20" t="s">
        <v>362</v>
      </c>
      <c r="H31" s="20" t="s">
        <v>362</v>
      </c>
      <c r="J31" s="20"/>
      <c r="K31" s="20"/>
      <c r="L31" s="20"/>
      <c r="N31" s="22" t="s">
        <v>25</v>
      </c>
      <c r="O31" s="22">
        <v>40</v>
      </c>
      <c r="P31" s="22" t="s">
        <v>596</v>
      </c>
      <c r="Q31" s="22">
        <v>10</v>
      </c>
      <c r="R31" s="22" t="s">
        <v>23</v>
      </c>
      <c r="S31" s="22">
        <v>5</v>
      </c>
      <c r="T31" s="22"/>
      <c r="U31" s="22"/>
      <c r="V31" s="22"/>
      <c r="W31" s="22"/>
      <c r="X31" s="23" t="s">
        <v>596</v>
      </c>
      <c r="Y31" s="23">
        <v>120</v>
      </c>
      <c r="Z31" s="23"/>
      <c r="AA31" s="23"/>
      <c r="AC31" s="22" t="s">
        <v>295</v>
      </c>
      <c r="AD31" s="22">
        <v>4000</v>
      </c>
      <c r="AE31" s="22" t="s">
        <v>584</v>
      </c>
      <c r="AF31" s="22">
        <v>650</v>
      </c>
      <c r="AG31" s="22" t="s">
        <v>288</v>
      </c>
      <c r="AH31" s="22">
        <v>300</v>
      </c>
      <c r="AJ31" s="23"/>
      <c r="AK31" s="23"/>
      <c r="AL31" s="23"/>
      <c r="AM31" s="23"/>
      <c r="AN31" s="23"/>
      <c r="AO31" s="23"/>
      <c r="AZ31" s="19"/>
      <c r="BA31" s="19"/>
      <c r="BB31" s="19"/>
    </row>
    <row r="32" customHeight="1" spans="1:54">
      <c r="A32" s="18" t="s">
        <v>408</v>
      </c>
      <c r="B32" s="18" t="s">
        <v>405</v>
      </c>
      <c r="D32" s="19"/>
      <c r="E32" s="19"/>
      <c r="G32" s="20" t="s">
        <v>362</v>
      </c>
      <c r="H32" s="20" t="s">
        <v>362</v>
      </c>
      <c r="J32" s="20"/>
      <c r="K32" s="20"/>
      <c r="L32" s="20"/>
      <c r="N32" s="22" t="s">
        <v>25</v>
      </c>
      <c r="O32" s="22">
        <v>50</v>
      </c>
      <c r="P32" s="22" t="s">
        <v>91</v>
      </c>
      <c r="Q32" s="22">
        <v>10</v>
      </c>
      <c r="R32" s="22" t="s">
        <v>114</v>
      </c>
      <c r="S32" s="22">
        <v>10</v>
      </c>
      <c r="T32" s="22" t="s">
        <v>596</v>
      </c>
      <c r="U32" s="22">
        <v>10</v>
      </c>
      <c r="V32" s="22" t="s">
        <v>23</v>
      </c>
      <c r="W32" s="22">
        <v>5</v>
      </c>
      <c r="X32" s="23" t="s">
        <v>596</v>
      </c>
      <c r="Y32" s="23">
        <v>180</v>
      </c>
      <c r="Z32" s="23"/>
      <c r="AA32" s="23"/>
      <c r="AC32" s="22" t="s">
        <v>295</v>
      </c>
      <c r="AD32" s="22">
        <v>3900</v>
      </c>
      <c r="AE32" s="22" t="s">
        <v>288</v>
      </c>
      <c r="AF32" s="22">
        <v>750</v>
      </c>
      <c r="AG32" s="22" t="s">
        <v>289</v>
      </c>
      <c r="AH32" s="22">
        <v>250</v>
      </c>
      <c r="AJ32" s="23"/>
      <c r="AK32" s="23"/>
      <c r="AL32" s="23"/>
      <c r="AM32" s="23"/>
      <c r="AN32" s="23"/>
      <c r="AO32" s="23"/>
      <c r="AZ32" s="19"/>
      <c r="BA32" s="19"/>
      <c r="BB32" s="19"/>
    </row>
    <row r="33" customHeight="1" spans="1:54">
      <c r="A33" s="18" t="s">
        <v>597</v>
      </c>
      <c r="B33" s="18" t="s">
        <v>409</v>
      </c>
      <c r="D33" s="19"/>
      <c r="E33" s="19"/>
      <c r="G33" s="20" t="s">
        <v>362</v>
      </c>
      <c r="H33" s="20" t="s">
        <v>362</v>
      </c>
      <c r="J33" s="20"/>
      <c r="K33" s="20"/>
      <c r="L33" s="20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3"/>
      <c r="Y33" s="23"/>
      <c r="Z33" s="23"/>
      <c r="AA33" s="23"/>
      <c r="AC33" s="22"/>
      <c r="AD33" s="22"/>
      <c r="AE33" s="22"/>
      <c r="AF33" s="22"/>
      <c r="AG33" s="22"/>
      <c r="AH33" s="22"/>
      <c r="AJ33" s="23"/>
      <c r="AK33" s="23"/>
      <c r="AL33" s="23"/>
      <c r="AM33" s="23"/>
      <c r="AN33" s="23"/>
      <c r="AO33" s="23"/>
      <c r="AZ33" s="19"/>
      <c r="BA33" s="19"/>
      <c r="BB33" s="19"/>
    </row>
    <row r="34" customHeight="1" spans="1:54">
      <c r="A34" s="18" t="s">
        <v>411</v>
      </c>
      <c r="B34" s="18" t="s">
        <v>409</v>
      </c>
      <c r="D34" s="19"/>
      <c r="E34" s="19"/>
      <c r="G34" s="20" t="s">
        <v>406</v>
      </c>
      <c r="H34" s="20" t="s">
        <v>362</v>
      </c>
      <c r="J34" s="20"/>
      <c r="K34" s="20"/>
      <c r="L34" s="20"/>
      <c r="N34" s="22" t="s">
        <v>23</v>
      </c>
      <c r="O34" s="22">
        <v>2</v>
      </c>
      <c r="P34" s="22" t="s">
        <v>116</v>
      </c>
      <c r="Q34" s="22">
        <v>2</v>
      </c>
      <c r="R34" s="22"/>
      <c r="S34" s="22"/>
      <c r="T34" s="22"/>
      <c r="U34" s="22"/>
      <c r="V34" s="22"/>
      <c r="W34" s="22"/>
      <c r="X34" s="23"/>
      <c r="Y34" s="23"/>
      <c r="Z34" s="23"/>
      <c r="AA34" s="23"/>
      <c r="AC34" s="22" t="s">
        <v>295</v>
      </c>
      <c r="AD34" s="22">
        <v>-750</v>
      </c>
      <c r="AE34" s="22" t="s">
        <v>584</v>
      </c>
      <c r="AF34" s="22">
        <v>250</v>
      </c>
      <c r="AG34" s="22" t="s">
        <v>288</v>
      </c>
      <c r="AH34" s="22">
        <v>150</v>
      </c>
      <c r="AJ34" s="23"/>
      <c r="AK34" s="23"/>
      <c r="AL34" s="23"/>
      <c r="AM34" s="23"/>
      <c r="AN34" s="23"/>
      <c r="AO34" s="23"/>
      <c r="AZ34" s="19"/>
      <c r="BA34" s="19"/>
      <c r="BB34" s="19"/>
    </row>
    <row r="35" customHeight="1" spans="1:54">
      <c r="A35" s="18" t="s">
        <v>412</v>
      </c>
      <c r="B35" s="18" t="s">
        <v>409</v>
      </c>
      <c r="D35" s="19"/>
      <c r="E35" s="19"/>
      <c r="G35" s="20" t="s">
        <v>407</v>
      </c>
      <c r="H35" s="20" t="s">
        <v>362</v>
      </c>
      <c r="J35" s="20"/>
      <c r="K35" s="20"/>
      <c r="L35" s="20"/>
      <c r="N35" s="22" t="s">
        <v>23</v>
      </c>
      <c r="O35" s="22">
        <v>5</v>
      </c>
      <c r="P35" s="22" t="s">
        <v>116</v>
      </c>
      <c r="Q35" s="22">
        <v>5</v>
      </c>
      <c r="R35" s="22"/>
      <c r="S35" s="22"/>
      <c r="T35" s="22"/>
      <c r="U35" s="22"/>
      <c r="V35" s="22"/>
      <c r="W35" s="22"/>
      <c r="X35" s="23"/>
      <c r="Y35" s="23"/>
      <c r="Z35" s="23"/>
      <c r="AA35" s="23"/>
      <c r="AC35" s="22" t="s">
        <v>295</v>
      </c>
      <c r="AD35" s="22">
        <v>-1250</v>
      </c>
      <c r="AE35" s="22" t="s">
        <v>584</v>
      </c>
      <c r="AF35" s="22">
        <v>200</v>
      </c>
      <c r="AG35" s="22" t="s">
        <v>288</v>
      </c>
      <c r="AH35" s="22">
        <v>200</v>
      </c>
      <c r="AJ35" s="23"/>
      <c r="AK35" s="23"/>
      <c r="AL35" s="23"/>
      <c r="AM35" s="23"/>
      <c r="AN35" s="23"/>
      <c r="AO35" s="23"/>
      <c r="AZ35" s="19"/>
      <c r="BA35" s="19"/>
      <c r="BB35" s="19"/>
    </row>
    <row r="36" customHeight="1" spans="1:54">
      <c r="A36" s="18" t="s">
        <v>413</v>
      </c>
      <c r="B36" s="18" t="s">
        <v>409</v>
      </c>
      <c r="D36" s="19"/>
      <c r="E36" s="19"/>
      <c r="G36" s="20" t="s">
        <v>407</v>
      </c>
      <c r="H36" s="20" t="s">
        <v>362</v>
      </c>
      <c r="J36" s="20"/>
      <c r="K36" s="20"/>
      <c r="L36" s="20"/>
      <c r="N36" s="22" t="s">
        <v>23</v>
      </c>
      <c r="O36" s="22">
        <v>10</v>
      </c>
      <c r="P36" s="22" t="s">
        <v>116</v>
      </c>
      <c r="Q36" s="22">
        <v>10</v>
      </c>
      <c r="R36" s="22" t="s">
        <v>83</v>
      </c>
      <c r="S36" s="22">
        <v>1</v>
      </c>
      <c r="T36" s="22"/>
      <c r="U36" s="22"/>
      <c r="V36" s="22"/>
      <c r="W36" s="22"/>
      <c r="X36" s="23"/>
      <c r="Y36" s="23"/>
      <c r="Z36" s="23"/>
      <c r="AA36" s="23"/>
      <c r="AC36" s="22" t="s">
        <v>295</v>
      </c>
      <c r="AD36" s="22">
        <v>-2000</v>
      </c>
      <c r="AE36" s="22" t="s">
        <v>584</v>
      </c>
      <c r="AF36" s="22">
        <v>150</v>
      </c>
      <c r="AG36" s="22" t="s">
        <v>288</v>
      </c>
      <c r="AH36" s="22">
        <v>250</v>
      </c>
      <c r="AJ36" s="23"/>
      <c r="AK36" s="23"/>
      <c r="AL36" s="23"/>
      <c r="AM36" s="23"/>
      <c r="AN36" s="23"/>
      <c r="AO36" s="23"/>
      <c r="AZ36" s="19"/>
      <c r="BA36" s="19"/>
      <c r="BB36" s="19"/>
    </row>
    <row r="37" customHeight="1" spans="1:54">
      <c r="A37" s="18" t="s">
        <v>414</v>
      </c>
      <c r="B37" s="18" t="s">
        <v>409</v>
      </c>
      <c r="D37" s="19"/>
      <c r="E37" s="19"/>
      <c r="G37" s="20" t="s">
        <v>408</v>
      </c>
      <c r="H37" s="20" t="s">
        <v>362</v>
      </c>
      <c r="J37" s="20" t="s">
        <v>595</v>
      </c>
      <c r="K37" s="20"/>
      <c r="L37" s="20"/>
      <c r="N37" s="22" t="s">
        <v>23</v>
      </c>
      <c r="O37" s="22">
        <v>10</v>
      </c>
      <c r="P37" s="22" t="s">
        <v>116</v>
      </c>
      <c r="Q37" s="22">
        <v>10</v>
      </c>
      <c r="R37" s="22" t="s">
        <v>118</v>
      </c>
      <c r="S37" s="22">
        <v>2</v>
      </c>
      <c r="T37" s="22" t="s">
        <v>89</v>
      </c>
      <c r="U37" s="22">
        <v>2</v>
      </c>
      <c r="V37" s="22" t="s">
        <v>83</v>
      </c>
      <c r="W37" s="22">
        <v>1</v>
      </c>
      <c r="X37" s="23"/>
      <c r="Y37" s="23"/>
      <c r="Z37" s="23"/>
      <c r="AA37" s="23"/>
      <c r="AC37" s="22" t="s">
        <v>295</v>
      </c>
      <c r="AD37" s="22">
        <v>-3900</v>
      </c>
      <c r="AE37" s="22" t="s">
        <v>288</v>
      </c>
      <c r="AF37" s="22">
        <v>500</v>
      </c>
      <c r="AG37" s="22" t="s">
        <v>289</v>
      </c>
      <c r="AH37" s="22">
        <v>500</v>
      </c>
      <c r="AJ37" s="23"/>
      <c r="AK37" s="23"/>
      <c r="AL37" s="23"/>
      <c r="AM37" s="23"/>
      <c r="AN37" s="23"/>
      <c r="AO37" s="23"/>
      <c r="AZ37" s="19"/>
      <c r="BA37" s="19"/>
      <c r="BB37" s="19"/>
    </row>
    <row r="38" customHeight="1" spans="1:54">
      <c r="A38" s="21" t="s">
        <v>371</v>
      </c>
      <c r="B38" s="21" t="s">
        <v>415</v>
      </c>
      <c r="D38" s="19"/>
      <c r="E38" s="19"/>
      <c r="G38" s="20" t="s">
        <v>362</v>
      </c>
      <c r="H38" s="20" t="s">
        <v>362</v>
      </c>
      <c r="J38" s="20" t="s">
        <v>592</v>
      </c>
      <c r="K38" s="20"/>
      <c r="L38" s="20"/>
      <c r="N38" s="22" t="s">
        <v>91</v>
      </c>
      <c r="O38" s="22">
        <v>5</v>
      </c>
      <c r="P38" s="22" t="s">
        <v>89</v>
      </c>
      <c r="Q38" s="22">
        <v>5</v>
      </c>
      <c r="R38" s="22" t="s">
        <v>25</v>
      </c>
      <c r="S38" s="22">
        <v>5</v>
      </c>
      <c r="T38" s="22"/>
      <c r="U38" s="22"/>
      <c r="V38" s="22"/>
      <c r="W38" s="22"/>
      <c r="X38" s="23" t="s">
        <v>118</v>
      </c>
      <c r="Y38" s="23">
        <v>40</v>
      </c>
      <c r="Z38" s="23"/>
      <c r="AA38" s="23"/>
      <c r="AC38" s="22" t="s">
        <v>289</v>
      </c>
      <c r="AD38" s="22">
        <v>1100</v>
      </c>
      <c r="AE38" s="22" t="s">
        <v>281</v>
      </c>
      <c r="AF38" s="22">
        <v>350</v>
      </c>
      <c r="AG38" s="22" t="s">
        <v>598</v>
      </c>
      <c r="AH38" s="22">
        <v>50</v>
      </c>
      <c r="AJ38" s="23"/>
      <c r="AK38" s="23"/>
      <c r="AL38" s="23"/>
      <c r="AM38" s="23"/>
      <c r="AN38" s="23"/>
      <c r="AO38" s="23"/>
      <c r="AZ38" s="19"/>
      <c r="BA38" s="19"/>
      <c r="BB38" s="19"/>
    </row>
    <row r="39" customHeight="1" spans="1:54">
      <c r="A39" s="21" t="s">
        <v>416</v>
      </c>
      <c r="B39" s="21" t="s">
        <v>415</v>
      </c>
      <c r="D39" s="19"/>
      <c r="E39" s="19"/>
      <c r="G39" s="20" t="s">
        <v>362</v>
      </c>
      <c r="H39" s="20" t="s">
        <v>362</v>
      </c>
      <c r="J39" s="20" t="s">
        <v>592</v>
      </c>
      <c r="K39" s="20"/>
      <c r="L39" s="20"/>
      <c r="N39" s="22" t="s">
        <v>91</v>
      </c>
      <c r="O39" s="22">
        <v>10</v>
      </c>
      <c r="P39" s="22" t="s">
        <v>89</v>
      </c>
      <c r="Q39" s="22">
        <v>10</v>
      </c>
      <c r="R39" s="22" t="s">
        <v>25</v>
      </c>
      <c r="S39" s="22">
        <v>5</v>
      </c>
      <c r="T39" s="22"/>
      <c r="U39" s="22"/>
      <c r="V39" s="22"/>
      <c r="W39" s="22"/>
      <c r="X39" s="23" t="s">
        <v>118</v>
      </c>
      <c r="Y39" s="23">
        <v>50</v>
      </c>
      <c r="Z39" s="23"/>
      <c r="AA39" s="23"/>
      <c r="AC39" s="22" t="s">
        <v>289</v>
      </c>
      <c r="AD39" s="22">
        <v>1000</v>
      </c>
      <c r="AE39" s="22" t="s">
        <v>281</v>
      </c>
      <c r="AF39" s="22">
        <v>450</v>
      </c>
      <c r="AG39" s="22" t="s">
        <v>598</v>
      </c>
      <c r="AH39" s="22">
        <v>50</v>
      </c>
      <c r="AJ39" s="23"/>
      <c r="AK39" s="23"/>
      <c r="AL39" s="23"/>
      <c r="AM39" s="23"/>
      <c r="AN39" s="23"/>
      <c r="AO39" s="23"/>
      <c r="AZ39" s="19"/>
      <c r="BA39" s="19"/>
      <c r="BB39" s="19"/>
    </row>
    <row r="40" customHeight="1" spans="1:54">
      <c r="A40" s="21" t="s">
        <v>373</v>
      </c>
      <c r="B40" s="21" t="s">
        <v>415</v>
      </c>
      <c r="D40" s="19"/>
      <c r="E40" s="19"/>
      <c r="G40" s="20" t="s">
        <v>362</v>
      </c>
      <c r="H40" s="20" t="s">
        <v>362</v>
      </c>
      <c r="J40" s="20" t="s">
        <v>592</v>
      </c>
      <c r="K40" s="20"/>
      <c r="L40" s="20"/>
      <c r="N40" s="22" t="s">
        <v>91</v>
      </c>
      <c r="O40" s="22">
        <v>10</v>
      </c>
      <c r="P40" s="22" t="s">
        <v>89</v>
      </c>
      <c r="Q40" s="22">
        <v>10</v>
      </c>
      <c r="R40" s="22" t="s">
        <v>25</v>
      </c>
      <c r="S40" s="22">
        <v>10</v>
      </c>
      <c r="T40" s="22" t="s">
        <v>114</v>
      </c>
      <c r="U40" s="22">
        <v>5</v>
      </c>
      <c r="V40" s="22" t="s">
        <v>83</v>
      </c>
      <c r="W40" s="22">
        <v>5</v>
      </c>
      <c r="X40" s="23" t="s">
        <v>118</v>
      </c>
      <c r="Y40" s="23">
        <v>70</v>
      </c>
      <c r="Z40" s="23"/>
      <c r="AA40" s="23"/>
      <c r="AC40" s="22" t="s">
        <v>289</v>
      </c>
      <c r="AD40" s="22">
        <v>800</v>
      </c>
      <c r="AE40" s="22" t="s">
        <v>281</v>
      </c>
      <c r="AF40" s="22">
        <v>650</v>
      </c>
      <c r="AG40" s="22" t="s">
        <v>598</v>
      </c>
      <c r="AH40" s="22">
        <v>100</v>
      </c>
      <c r="AJ40" s="23"/>
      <c r="AK40" s="23"/>
      <c r="AL40" s="23"/>
      <c r="AM40" s="23"/>
      <c r="AN40" s="23"/>
      <c r="AO40" s="23"/>
      <c r="AZ40" s="19"/>
      <c r="BA40" s="19"/>
      <c r="BB40" s="19"/>
    </row>
    <row r="41" customHeight="1" spans="1:54">
      <c r="A41" s="21" t="s">
        <v>599</v>
      </c>
      <c r="B41" s="21" t="s">
        <v>417</v>
      </c>
      <c r="D41" s="19"/>
      <c r="E41" s="19"/>
      <c r="G41" s="20" t="s">
        <v>362</v>
      </c>
      <c r="H41" s="20" t="s">
        <v>362</v>
      </c>
      <c r="J41" s="20"/>
      <c r="K41" s="20"/>
      <c r="L41" s="20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3"/>
      <c r="Y41" s="23"/>
      <c r="Z41" s="23"/>
      <c r="AA41" s="23"/>
      <c r="AC41" s="22"/>
      <c r="AD41" s="22"/>
      <c r="AE41" s="22"/>
      <c r="AF41" s="22"/>
      <c r="AG41" s="22"/>
      <c r="AH41" s="22"/>
      <c r="AJ41" s="23"/>
      <c r="AK41" s="23"/>
      <c r="AL41" s="23"/>
      <c r="AM41" s="23"/>
      <c r="AN41" s="23"/>
      <c r="AO41" s="23"/>
      <c r="AZ41" s="19"/>
      <c r="BA41" s="19"/>
      <c r="BB41" s="19"/>
    </row>
    <row r="42" customHeight="1" spans="1:54">
      <c r="A42" s="21" t="s">
        <v>419</v>
      </c>
      <c r="B42" s="21" t="s">
        <v>417</v>
      </c>
      <c r="D42" s="19"/>
      <c r="E42" s="19"/>
      <c r="G42" s="20" t="s">
        <v>362</v>
      </c>
      <c r="H42" s="20" t="s">
        <v>362</v>
      </c>
      <c r="J42" s="20" t="s">
        <v>592</v>
      </c>
      <c r="K42" s="20"/>
      <c r="L42" s="20"/>
      <c r="N42" s="22"/>
      <c r="O42" s="22"/>
      <c r="P42" s="22" t="s">
        <v>89</v>
      </c>
      <c r="Q42" s="22">
        <v>1</v>
      </c>
      <c r="R42" s="22" t="s">
        <v>118</v>
      </c>
      <c r="S42" s="22">
        <v>1</v>
      </c>
      <c r="T42" s="22" t="s">
        <v>116</v>
      </c>
      <c r="U42" s="22">
        <v>1</v>
      </c>
      <c r="V42" s="22"/>
      <c r="W42" s="22"/>
      <c r="X42" s="23"/>
      <c r="Y42" s="23"/>
      <c r="Z42" s="23"/>
      <c r="AA42" s="23"/>
      <c r="AC42" s="22" t="s">
        <v>289</v>
      </c>
      <c r="AD42" s="22">
        <v>-200</v>
      </c>
      <c r="AE42" s="22"/>
      <c r="AF42" s="22"/>
      <c r="AG42" s="22"/>
      <c r="AH42" s="22"/>
      <c r="AJ42" s="23"/>
      <c r="AK42" s="23"/>
      <c r="AL42" s="23"/>
      <c r="AM42" s="23"/>
      <c r="AN42" s="23"/>
      <c r="AO42" s="23"/>
      <c r="AZ42" s="19"/>
      <c r="BA42" s="19"/>
      <c r="BB42" s="19"/>
    </row>
    <row r="43" customHeight="1" spans="1:54">
      <c r="A43" s="21" t="s">
        <v>420</v>
      </c>
      <c r="B43" s="21" t="s">
        <v>417</v>
      </c>
      <c r="D43" s="19"/>
      <c r="E43" s="19"/>
      <c r="G43" s="20" t="s">
        <v>362</v>
      </c>
      <c r="H43" s="20" t="s">
        <v>362</v>
      </c>
      <c r="J43" s="20" t="s">
        <v>592</v>
      </c>
      <c r="K43" s="20"/>
      <c r="L43" s="20"/>
      <c r="N43" s="22"/>
      <c r="O43" s="22"/>
      <c r="P43" s="22" t="s">
        <v>89</v>
      </c>
      <c r="Q43" s="22">
        <v>2</v>
      </c>
      <c r="R43" s="22" t="s">
        <v>118</v>
      </c>
      <c r="S43" s="22">
        <v>2</v>
      </c>
      <c r="T43" s="22" t="s">
        <v>116</v>
      </c>
      <c r="U43" s="22">
        <v>2</v>
      </c>
      <c r="V43" s="22"/>
      <c r="W43" s="22"/>
      <c r="X43" s="23"/>
      <c r="Y43" s="23"/>
      <c r="Z43" s="23"/>
      <c r="AA43" s="23"/>
      <c r="AC43" s="22" t="s">
        <v>289</v>
      </c>
      <c r="AD43" s="22">
        <v>-300</v>
      </c>
      <c r="AE43" s="22" t="s">
        <v>281</v>
      </c>
      <c r="AF43" s="22">
        <v>-50</v>
      </c>
      <c r="AG43" s="22"/>
      <c r="AH43" s="22"/>
      <c r="AJ43" s="23"/>
      <c r="AK43" s="23"/>
      <c r="AL43" s="23"/>
      <c r="AM43" s="23"/>
      <c r="AN43" s="23"/>
      <c r="AO43" s="23"/>
      <c r="AZ43" s="19"/>
      <c r="BA43" s="19"/>
      <c r="BB43" s="19"/>
    </row>
    <row r="44" customHeight="1" spans="1:54">
      <c r="A44" s="21" t="s">
        <v>421</v>
      </c>
      <c r="B44" s="21" t="s">
        <v>417</v>
      </c>
      <c r="D44" s="19"/>
      <c r="E44" s="19"/>
      <c r="G44" s="20" t="s">
        <v>362</v>
      </c>
      <c r="H44" s="20" t="s">
        <v>362</v>
      </c>
      <c r="J44" s="20" t="s">
        <v>592</v>
      </c>
      <c r="K44" s="20"/>
      <c r="L44" s="20"/>
      <c r="N44" s="22"/>
      <c r="O44" s="22"/>
      <c r="P44" s="22" t="s">
        <v>89</v>
      </c>
      <c r="Q44" s="22">
        <v>3</v>
      </c>
      <c r="R44" s="22" t="s">
        <v>118</v>
      </c>
      <c r="S44" s="22">
        <v>3</v>
      </c>
      <c r="T44" s="22" t="s">
        <v>116</v>
      </c>
      <c r="U44" s="22">
        <v>3</v>
      </c>
      <c r="V44" s="22"/>
      <c r="W44" s="22"/>
      <c r="X44" s="23"/>
      <c r="Y44" s="23"/>
      <c r="Z44" s="23"/>
      <c r="AA44" s="23"/>
      <c r="AC44" s="22" t="s">
        <v>289</v>
      </c>
      <c r="AD44" s="22">
        <v>-500</v>
      </c>
      <c r="AE44" s="22" t="s">
        <v>281</v>
      </c>
      <c r="AF44" s="22">
        <v>-100</v>
      </c>
      <c r="AG44" s="22"/>
      <c r="AH44" s="22"/>
      <c r="AJ44" s="23"/>
      <c r="AK44" s="23"/>
      <c r="AL44" s="23"/>
      <c r="AM44" s="23"/>
      <c r="AN44" s="23"/>
      <c r="AO44" s="23"/>
      <c r="AZ44" s="19"/>
      <c r="BA44" s="19"/>
      <c r="BB44" s="19"/>
    </row>
    <row r="45" customHeight="1" spans="1:54">
      <c r="A45" s="21" t="s">
        <v>422</v>
      </c>
      <c r="B45" s="21" t="s">
        <v>417</v>
      </c>
      <c r="D45" s="19"/>
      <c r="E45" s="19"/>
      <c r="G45" s="20" t="s">
        <v>373</v>
      </c>
      <c r="H45" s="20" t="s">
        <v>362</v>
      </c>
      <c r="J45" s="20" t="s">
        <v>595</v>
      </c>
      <c r="K45" s="20"/>
      <c r="L45" s="20"/>
      <c r="N45" s="22" t="s">
        <v>83</v>
      </c>
      <c r="O45" s="22">
        <v>1</v>
      </c>
      <c r="P45" s="22" t="s">
        <v>89</v>
      </c>
      <c r="Q45" s="22">
        <v>2</v>
      </c>
      <c r="R45" s="22" t="s">
        <v>118</v>
      </c>
      <c r="S45" s="22">
        <v>2</v>
      </c>
      <c r="T45" s="22" t="s">
        <v>116</v>
      </c>
      <c r="U45" s="22">
        <v>2</v>
      </c>
      <c r="V45" s="22" t="s">
        <v>23</v>
      </c>
      <c r="W45" s="22">
        <v>5</v>
      </c>
      <c r="X45" s="23"/>
      <c r="Y45" s="23"/>
      <c r="Z45" s="23"/>
      <c r="AA45" s="23"/>
      <c r="AC45" s="22" t="s">
        <v>289</v>
      </c>
      <c r="AD45" s="22">
        <v>-800</v>
      </c>
      <c r="AE45" s="22" t="s">
        <v>281</v>
      </c>
      <c r="AF45" s="22">
        <v>-150</v>
      </c>
      <c r="AG45" s="22"/>
      <c r="AH45" s="22"/>
      <c r="AJ45" s="23"/>
      <c r="AK45" s="23"/>
      <c r="AL45" s="23"/>
      <c r="AM45" s="23"/>
      <c r="AN45" s="23"/>
      <c r="AO45" s="23"/>
      <c r="AZ45" s="19"/>
      <c r="BA45" s="19"/>
      <c r="BB45" s="19"/>
    </row>
    <row r="46" customHeight="1" spans="1:54">
      <c r="A46" s="18" t="s">
        <v>424</v>
      </c>
      <c r="B46" s="18" t="s">
        <v>423</v>
      </c>
      <c r="D46" s="19"/>
      <c r="E46" s="19"/>
      <c r="G46" s="20" t="s">
        <v>362</v>
      </c>
      <c r="H46" s="20" t="s">
        <v>362</v>
      </c>
      <c r="J46" s="20"/>
      <c r="K46" s="20"/>
      <c r="L46" s="20"/>
      <c r="N46" s="22" t="s">
        <v>91</v>
      </c>
      <c r="O46" s="22">
        <v>5</v>
      </c>
      <c r="P46" s="22" t="s">
        <v>25</v>
      </c>
      <c r="Q46" s="22">
        <v>15</v>
      </c>
      <c r="R46" s="22" t="s">
        <v>89</v>
      </c>
      <c r="S46" s="22">
        <v>5</v>
      </c>
      <c r="T46" s="22"/>
      <c r="U46" s="22"/>
      <c r="V46" s="22"/>
      <c r="W46" s="22"/>
      <c r="X46" s="23" t="s">
        <v>114</v>
      </c>
      <c r="Y46" s="23">
        <v>50</v>
      </c>
      <c r="Z46" s="23"/>
      <c r="AA46" s="23"/>
      <c r="AC46" s="22" t="s">
        <v>289</v>
      </c>
      <c r="AD46" s="22">
        <v>1100</v>
      </c>
      <c r="AE46" s="22" t="s">
        <v>281</v>
      </c>
      <c r="AF46" s="22">
        <v>350</v>
      </c>
      <c r="AG46" s="22" t="s">
        <v>598</v>
      </c>
      <c r="AH46" s="22">
        <v>50</v>
      </c>
      <c r="AJ46" s="23"/>
      <c r="AK46" s="23"/>
      <c r="AL46" s="23"/>
      <c r="AM46" s="23"/>
      <c r="AN46" s="23"/>
      <c r="AO46" s="23"/>
      <c r="AZ46" s="19"/>
      <c r="BA46" s="19"/>
      <c r="BB46" s="19"/>
    </row>
    <row r="47" customHeight="1" spans="1:54">
      <c r="A47" s="18" t="s">
        <v>425</v>
      </c>
      <c r="B47" s="18" t="s">
        <v>423</v>
      </c>
      <c r="D47" s="19"/>
      <c r="E47" s="19"/>
      <c r="G47" s="20" t="s">
        <v>362</v>
      </c>
      <c r="H47" s="20" t="s">
        <v>362</v>
      </c>
      <c r="J47" s="20"/>
      <c r="K47" s="20"/>
      <c r="L47" s="20"/>
      <c r="N47" s="22" t="s">
        <v>91</v>
      </c>
      <c r="O47" s="22">
        <v>15</v>
      </c>
      <c r="P47" s="22" t="s">
        <v>25</v>
      </c>
      <c r="Q47" s="22">
        <v>20</v>
      </c>
      <c r="R47" s="22" t="s">
        <v>89</v>
      </c>
      <c r="S47" s="22">
        <v>15</v>
      </c>
      <c r="T47" s="22"/>
      <c r="U47" s="22"/>
      <c r="V47" s="22"/>
      <c r="W47" s="22"/>
      <c r="X47" s="23" t="s">
        <v>114</v>
      </c>
      <c r="Y47" s="23">
        <v>100</v>
      </c>
      <c r="Z47" s="23"/>
      <c r="AA47" s="23"/>
      <c r="AC47" s="22" t="s">
        <v>289</v>
      </c>
      <c r="AD47" s="22">
        <v>1000</v>
      </c>
      <c r="AE47" s="22" t="s">
        <v>281</v>
      </c>
      <c r="AF47" s="22">
        <v>450</v>
      </c>
      <c r="AG47" s="22" t="s">
        <v>598</v>
      </c>
      <c r="AH47" s="22">
        <v>50</v>
      </c>
      <c r="AJ47" s="23"/>
      <c r="AK47" s="23"/>
      <c r="AL47" s="23"/>
      <c r="AM47" s="23"/>
      <c r="AN47" s="23"/>
      <c r="AO47" s="23"/>
      <c r="AZ47" s="19"/>
      <c r="BA47" s="19"/>
      <c r="BB47" s="19"/>
    </row>
    <row r="48" customHeight="1" spans="1:54">
      <c r="A48" s="18" t="s">
        <v>426</v>
      </c>
      <c r="B48" s="18" t="s">
        <v>423</v>
      </c>
      <c r="D48" s="19"/>
      <c r="E48" s="19"/>
      <c r="G48" s="20" t="s">
        <v>362</v>
      </c>
      <c r="H48" s="20" t="s">
        <v>362</v>
      </c>
      <c r="J48" s="20"/>
      <c r="K48" s="20"/>
      <c r="L48" s="20"/>
      <c r="N48" s="22" t="s">
        <v>91</v>
      </c>
      <c r="O48" s="22">
        <v>20</v>
      </c>
      <c r="P48" s="22" t="s">
        <v>25</v>
      </c>
      <c r="Q48" s="22">
        <v>25</v>
      </c>
      <c r="R48" s="22" t="s">
        <v>89</v>
      </c>
      <c r="S48" s="22">
        <v>20</v>
      </c>
      <c r="T48" s="22"/>
      <c r="U48" s="22"/>
      <c r="V48" s="22"/>
      <c r="W48" s="22"/>
      <c r="X48" s="23" t="s">
        <v>114</v>
      </c>
      <c r="Y48" s="23">
        <v>140</v>
      </c>
      <c r="Z48" s="23"/>
      <c r="AA48" s="23"/>
      <c r="AC48" s="22" t="s">
        <v>289</v>
      </c>
      <c r="AD48" s="22">
        <v>800</v>
      </c>
      <c r="AE48" s="22" t="s">
        <v>281</v>
      </c>
      <c r="AF48" s="22">
        <v>650</v>
      </c>
      <c r="AG48" s="22" t="s">
        <v>598</v>
      </c>
      <c r="AH48" s="22">
        <v>100</v>
      </c>
      <c r="AJ48" s="23"/>
      <c r="AK48" s="23"/>
      <c r="AL48" s="23"/>
      <c r="AM48" s="23"/>
      <c r="AN48" s="23"/>
      <c r="AO48" s="23"/>
      <c r="AZ48" s="19"/>
      <c r="BA48" s="19"/>
      <c r="BB48" s="19"/>
    </row>
    <row r="49" customHeight="1" spans="1:54">
      <c r="A49" s="18" t="s">
        <v>600</v>
      </c>
      <c r="B49" s="18" t="s">
        <v>427</v>
      </c>
      <c r="D49" s="19"/>
      <c r="E49" s="19"/>
      <c r="G49" s="20" t="s">
        <v>362</v>
      </c>
      <c r="H49" s="20" t="s">
        <v>362</v>
      </c>
      <c r="J49" s="20"/>
      <c r="K49" s="20"/>
      <c r="L49" s="20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3"/>
      <c r="Y49" s="23"/>
      <c r="Z49" s="23"/>
      <c r="AA49" s="23"/>
      <c r="AC49" s="22"/>
      <c r="AD49" s="22"/>
      <c r="AE49" s="22"/>
      <c r="AF49" s="22"/>
      <c r="AG49" s="22"/>
      <c r="AH49" s="22"/>
      <c r="AJ49" s="23"/>
      <c r="AK49" s="23"/>
      <c r="AL49" s="23"/>
      <c r="AM49" s="23"/>
      <c r="AN49" s="23"/>
      <c r="AO49" s="23"/>
      <c r="AZ49" s="19"/>
      <c r="BA49" s="19"/>
      <c r="BB49" s="19"/>
    </row>
    <row r="50" customHeight="1" spans="1:54">
      <c r="A50" s="18" t="s">
        <v>428</v>
      </c>
      <c r="B50" s="18" t="s">
        <v>427</v>
      </c>
      <c r="D50" s="19"/>
      <c r="E50" s="19"/>
      <c r="G50" s="20" t="s">
        <v>362</v>
      </c>
      <c r="H50" s="20" t="s">
        <v>362</v>
      </c>
      <c r="J50" s="20"/>
      <c r="K50" s="20"/>
      <c r="L50" s="20"/>
      <c r="N50" s="22" t="s">
        <v>89</v>
      </c>
      <c r="O50" s="22">
        <v>1</v>
      </c>
      <c r="P50" s="22" t="s">
        <v>118</v>
      </c>
      <c r="Q50" s="22">
        <v>1</v>
      </c>
      <c r="R50" s="22" t="s">
        <v>116</v>
      </c>
      <c r="S50" s="22">
        <v>1</v>
      </c>
      <c r="T50" s="22"/>
      <c r="U50" s="22"/>
      <c r="V50" s="22"/>
      <c r="W50" s="22"/>
      <c r="X50" s="23"/>
      <c r="Y50" s="23"/>
      <c r="Z50" s="23"/>
      <c r="AA50" s="23"/>
      <c r="AC50" s="22" t="s">
        <v>289</v>
      </c>
      <c r="AD50" s="22">
        <v>-200</v>
      </c>
      <c r="AE50" s="22"/>
      <c r="AF50" s="22"/>
      <c r="AG50" s="22"/>
      <c r="AH50" s="22"/>
      <c r="AJ50" s="23"/>
      <c r="AK50" s="23"/>
      <c r="AL50" s="23"/>
      <c r="AM50" s="23"/>
      <c r="AN50" s="23"/>
      <c r="AO50" s="23"/>
      <c r="AZ50" s="19"/>
      <c r="BA50" s="19"/>
      <c r="BB50" s="19"/>
    </row>
    <row r="51" customHeight="1" spans="1:54">
      <c r="A51" s="18" t="s">
        <v>429</v>
      </c>
      <c r="B51" s="18" t="s">
        <v>427</v>
      </c>
      <c r="D51" s="19"/>
      <c r="E51" s="19"/>
      <c r="G51" s="20" t="s">
        <v>362</v>
      </c>
      <c r="H51" s="20" t="s">
        <v>362</v>
      </c>
      <c r="J51" s="20"/>
      <c r="K51" s="20"/>
      <c r="L51" s="20"/>
      <c r="N51" s="22" t="s">
        <v>89</v>
      </c>
      <c r="O51" s="22">
        <v>2</v>
      </c>
      <c r="P51" s="22" t="s">
        <v>118</v>
      </c>
      <c r="Q51" s="22">
        <v>2</v>
      </c>
      <c r="R51" s="22" t="s">
        <v>116</v>
      </c>
      <c r="S51" s="22">
        <v>2</v>
      </c>
      <c r="T51" s="22"/>
      <c r="U51" s="22"/>
      <c r="V51" s="22"/>
      <c r="W51" s="22"/>
      <c r="X51" s="23"/>
      <c r="Y51" s="23"/>
      <c r="Z51" s="23"/>
      <c r="AA51" s="23"/>
      <c r="AC51" s="22" t="s">
        <v>289</v>
      </c>
      <c r="AD51" s="22">
        <v>-300</v>
      </c>
      <c r="AE51" s="22" t="s">
        <v>281</v>
      </c>
      <c r="AF51" s="22">
        <v>-50</v>
      </c>
      <c r="AG51" s="22"/>
      <c r="AH51" s="22"/>
      <c r="AJ51" s="23"/>
      <c r="AK51" s="23"/>
      <c r="AL51" s="23"/>
      <c r="AM51" s="23"/>
      <c r="AN51" s="23"/>
      <c r="AO51" s="23"/>
      <c r="AZ51" s="19"/>
      <c r="BA51" s="19"/>
      <c r="BB51" s="19"/>
    </row>
    <row r="52" customHeight="1" spans="1:54">
      <c r="A52" s="18" t="s">
        <v>430</v>
      </c>
      <c r="B52" s="18" t="s">
        <v>427</v>
      </c>
      <c r="D52" s="19"/>
      <c r="E52" s="19"/>
      <c r="G52" s="20" t="s">
        <v>362</v>
      </c>
      <c r="H52" s="20" t="s">
        <v>362</v>
      </c>
      <c r="J52" s="20"/>
      <c r="K52" s="20"/>
      <c r="L52" s="20"/>
      <c r="N52" s="22" t="s">
        <v>89</v>
      </c>
      <c r="O52" s="22">
        <v>3</v>
      </c>
      <c r="P52" s="22" t="s">
        <v>118</v>
      </c>
      <c r="Q52" s="22">
        <v>3</v>
      </c>
      <c r="R52" s="22" t="s">
        <v>116</v>
      </c>
      <c r="S52" s="22">
        <v>3</v>
      </c>
      <c r="T52" s="22"/>
      <c r="U52" s="22"/>
      <c r="V52" s="22"/>
      <c r="W52" s="22"/>
      <c r="X52" s="23"/>
      <c r="Y52" s="23"/>
      <c r="Z52" s="23"/>
      <c r="AA52" s="23"/>
      <c r="AC52" s="22" t="s">
        <v>289</v>
      </c>
      <c r="AD52" s="22">
        <v>-500</v>
      </c>
      <c r="AE52" s="22" t="s">
        <v>281</v>
      </c>
      <c r="AF52" s="22">
        <v>-100</v>
      </c>
      <c r="AG52" s="22"/>
      <c r="AH52" s="22"/>
      <c r="AJ52" s="23"/>
      <c r="AK52" s="23"/>
      <c r="AL52" s="23"/>
      <c r="AM52" s="23"/>
      <c r="AN52" s="23"/>
      <c r="AO52" s="23"/>
      <c r="AZ52" s="19"/>
      <c r="BA52" s="19"/>
      <c r="BB52" s="19"/>
    </row>
    <row r="53" customHeight="1" spans="1:54">
      <c r="A53" s="18" t="s">
        <v>431</v>
      </c>
      <c r="B53" s="18" t="s">
        <v>427</v>
      </c>
      <c r="D53" s="19"/>
      <c r="E53" s="19"/>
      <c r="G53" s="20" t="s">
        <v>362</v>
      </c>
      <c r="H53" s="20" t="s">
        <v>362</v>
      </c>
      <c r="J53" s="20"/>
      <c r="K53" s="20"/>
      <c r="L53" s="20"/>
      <c r="N53" s="22" t="s">
        <v>89</v>
      </c>
      <c r="O53" s="22">
        <v>2</v>
      </c>
      <c r="P53" s="22" t="s">
        <v>118</v>
      </c>
      <c r="Q53" s="22">
        <v>2</v>
      </c>
      <c r="R53" s="22" t="s">
        <v>116</v>
      </c>
      <c r="S53" s="22">
        <v>2</v>
      </c>
      <c r="T53" s="22" t="s">
        <v>23</v>
      </c>
      <c r="U53" s="22">
        <v>5</v>
      </c>
      <c r="V53" s="22" t="s">
        <v>116</v>
      </c>
      <c r="W53" s="22">
        <v>5</v>
      </c>
      <c r="X53" s="23"/>
      <c r="Y53" s="23"/>
      <c r="Z53" s="23"/>
      <c r="AA53" s="23"/>
      <c r="AC53" s="22" t="s">
        <v>289</v>
      </c>
      <c r="AD53" s="22">
        <v>-800</v>
      </c>
      <c r="AE53" s="22" t="s">
        <v>281</v>
      </c>
      <c r="AF53" s="22">
        <v>-150</v>
      </c>
      <c r="AG53" s="22"/>
      <c r="AH53" s="22"/>
      <c r="AJ53" s="23"/>
      <c r="AK53" s="23"/>
      <c r="AL53" s="23"/>
      <c r="AM53" s="23"/>
      <c r="AN53" s="23"/>
      <c r="AO53" s="23"/>
      <c r="AZ53" s="19"/>
      <c r="BA53" s="19"/>
      <c r="BB53" s="19"/>
    </row>
    <row r="54" customHeight="1" spans="1:54">
      <c r="A54" s="21" t="s">
        <v>433</v>
      </c>
      <c r="B54" s="21" t="s">
        <v>432</v>
      </c>
      <c r="D54" s="19"/>
      <c r="E54" s="19"/>
      <c r="G54" s="20" t="s">
        <v>362</v>
      </c>
      <c r="H54" s="20" t="s">
        <v>362</v>
      </c>
      <c r="J54" s="20"/>
      <c r="K54" s="20"/>
      <c r="L54" s="20"/>
      <c r="N54" s="22" t="s">
        <v>63</v>
      </c>
      <c r="O54" s="22">
        <v>30</v>
      </c>
      <c r="P54" s="22"/>
      <c r="Q54" s="22"/>
      <c r="R54" s="22"/>
      <c r="S54" s="22"/>
      <c r="T54" s="22"/>
      <c r="U54" s="22"/>
      <c r="V54" s="22"/>
      <c r="W54" s="22"/>
      <c r="X54" s="23" t="s">
        <v>91</v>
      </c>
      <c r="Y54" s="23">
        <v>10</v>
      </c>
      <c r="Z54" s="23"/>
      <c r="AA54" s="23"/>
      <c r="AC54" s="22" t="s">
        <v>295</v>
      </c>
      <c r="AD54" s="22">
        <v>500</v>
      </c>
      <c r="AE54" s="22" t="s">
        <v>296</v>
      </c>
      <c r="AF54" s="22">
        <v>3500</v>
      </c>
      <c r="AG54" s="22" t="s">
        <v>289</v>
      </c>
      <c r="AH54" s="22">
        <v>900</v>
      </c>
      <c r="AJ54" s="23" t="s">
        <v>601</v>
      </c>
      <c r="AK54" s="23">
        <v>0.5</v>
      </c>
      <c r="AL54" s="23" t="s">
        <v>602</v>
      </c>
      <c r="AM54" s="23">
        <v>0.25</v>
      </c>
      <c r="AN54" s="23" t="s">
        <v>603</v>
      </c>
      <c r="AO54" s="23">
        <v>0.5</v>
      </c>
      <c r="AZ54" s="19"/>
      <c r="BA54" s="19"/>
      <c r="BB54" s="19"/>
    </row>
    <row r="55" customHeight="1" spans="1:54">
      <c r="A55" s="21" t="s">
        <v>434</v>
      </c>
      <c r="B55" s="21" t="s">
        <v>432</v>
      </c>
      <c r="D55" s="19"/>
      <c r="E55" s="19"/>
      <c r="G55" s="20" t="s">
        <v>362</v>
      </c>
      <c r="H55" s="20" t="s">
        <v>362</v>
      </c>
      <c r="J55" s="20"/>
      <c r="K55" s="20"/>
      <c r="L55" s="20"/>
      <c r="N55" s="22" t="s">
        <v>63</v>
      </c>
      <c r="O55" s="22">
        <v>10</v>
      </c>
      <c r="P55" s="22"/>
      <c r="Q55" s="22"/>
      <c r="R55" s="22"/>
      <c r="S55" s="22"/>
      <c r="T55" s="22"/>
      <c r="U55" s="22"/>
      <c r="V55" s="22"/>
      <c r="W55" s="22"/>
      <c r="X55" s="23" t="s">
        <v>91</v>
      </c>
      <c r="Y55" s="23">
        <v>40</v>
      </c>
      <c r="Z55" s="23"/>
      <c r="AA55" s="23"/>
      <c r="AC55" s="22" t="s">
        <v>295</v>
      </c>
      <c r="AD55" s="22">
        <v>1000</v>
      </c>
      <c r="AE55" s="22" t="s">
        <v>296</v>
      </c>
      <c r="AF55" s="22">
        <v>2500</v>
      </c>
      <c r="AG55" s="22" t="s">
        <v>289</v>
      </c>
      <c r="AH55" s="22">
        <v>900</v>
      </c>
      <c r="AJ55" s="23" t="s">
        <v>601</v>
      </c>
      <c r="AK55" s="23">
        <v>1.5</v>
      </c>
      <c r="AL55" s="23" t="s">
        <v>602</v>
      </c>
      <c r="AM55" s="23">
        <v>0.25</v>
      </c>
      <c r="AN55" s="23"/>
      <c r="AO55" s="23"/>
      <c r="AZ55" s="19"/>
      <c r="BA55" s="19"/>
      <c r="BB55" s="19"/>
    </row>
    <row r="56" customHeight="1" spans="1:54">
      <c r="A56" s="21" t="s">
        <v>435</v>
      </c>
      <c r="B56" s="21" t="s">
        <v>432</v>
      </c>
      <c r="D56" s="19"/>
      <c r="E56" s="19"/>
      <c r="G56" s="20" t="s">
        <v>362</v>
      </c>
      <c r="H56" s="20" t="s">
        <v>362</v>
      </c>
      <c r="J56" s="20"/>
      <c r="K56" s="20"/>
      <c r="L56" s="20"/>
      <c r="N56" s="22" t="s">
        <v>81</v>
      </c>
      <c r="O56" s="22">
        <v>5</v>
      </c>
      <c r="P56" s="22" t="s">
        <v>91</v>
      </c>
      <c r="Q56" s="22">
        <v>5</v>
      </c>
      <c r="R56" s="22"/>
      <c r="S56" s="22"/>
      <c r="T56" s="22"/>
      <c r="U56" s="22"/>
      <c r="V56" s="22"/>
      <c r="W56" s="22"/>
      <c r="X56" s="23" t="s">
        <v>91</v>
      </c>
      <c r="Y56" s="23">
        <v>40</v>
      </c>
      <c r="Z56" s="23"/>
      <c r="AA56" s="23"/>
      <c r="AC56" s="22" t="s">
        <v>295</v>
      </c>
      <c r="AD56" s="22">
        <v>4500</v>
      </c>
      <c r="AE56" s="22" t="s">
        <v>283</v>
      </c>
      <c r="AF56" s="22">
        <v>400</v>
      </c>
      <c r="AG56" s="22"/>
      <c r="AH56" s="22"/>
      <c r="AJ56" s="23"/>
      <c r="AK56" s="23"/>
      <c r="AL56" s="23"/>
      <c r="AM56" s="23"/>
      <c r="AN56" s="23"/>
      <c r="AO56" s="23"/>
      <c r="AZ56" s="19"/>
      <c r="BA56" s="19"/>
      <c r="BB56" s="19"/>
    </row>
    <row r="57" customHeight="1" spans="1:54">
      <c r="A57" s="18" t="s">
        <v>437</v>
      </c>
      <c r="B57" s="18" t="s">
        <v>436</v>
      </c>
      <c r="D57" s="19"/>
      <c r="E57" s="19"/>
      <c r="G57" s="20" t="s">
        <v>362</v>
      </c>
      <c r="H57" s="20" t="s">
        <v>362</v>
      </c>
      <c r="J57" s="20"/>
      <c r="K57" s="20"/>
      <c r="L57" s="20"/>
      <c r="N57" s="22" t="s">
        <v>590</v>
      </c>
      <c r="O57" s="22">
        <v>10</v>
      </c>
      <c r="P57" s="22" t="s">
        <v>91</v>
      </c>
      <c r="Q57" s="22">
        <v>10</v>
      </c>
      <c r="R57" s="22"/>
      <c r="S57" s="22"/>
      <c r="T57" s="22"/>
      <c r="U57" s="22"/>
      <c r="V57" s="22"/>
      <c r="W57" s="22"/>
      <c r="X57" s="23" t="s">
        <v>604</v>
      </c>
      <c r="Y57" s="23">
        <v>80</v>
      </c>
      <c r="Z57" s="23"/>
      <c r="AA57" s="23"/>
      <c r="AC57" s="22" t="s">
        <v>295</v>
      </c>
      <c r="AD57" s="22">
        <v>4500</v>
      </c>
      <c r="AE57" s="22" t="s">
        <v>287</v>
      </c>
      <c r="AF57" s="22">
        <v>400</v>
      </c>
      <c r="AG57" s="22"/>
      <c r="AH57" s="22"/>
      <c r="AJ57" s="23"/>
      <c r="AK57" s="23"/>
      <c r="AL57" s="23"/>
      <c r="AM57" s="23"/>
      <c r="AN57" s="23"/>
      <c r="AO57" s="23"/>
      <c r="AZ57" s="19"/>
      <c r="BA57" s="19"/>
      <c r="BB57" s="19"/>
    </row>
    <row r="58" customHeight="1" spans="1:54">
      <c r="A58" s="18" t="s">
        <v>438</v>
      </c>
      <c r="B58" s="18" t="s">
        <v>436</v>
      </c>
      <c r="D58" s="19"/>
      <c r="E58" s="19"/>
      <c r="G58" s="20" t="s">
        <v>362</v>
      </c>
      <c r="H58" s="20" t="s">
        <v>362</v>
      </c>
      <c r="J58" s="20"/>
      <c r="K58" s="20"/>
      <c r="L58" s="20"/>
      <c r="N58" s="22" t="s">
        <v>25</v>
      </c>
      <c r="O58" s="22">
        <v>10</v>
      </c>
      <c r="P58" s="22" t="s">
        <v>91</v>
      </c>
      <c r="Q58" s="22">
        <v>10</v>
      </c>
      <c r="R58" s="22" t="s">
        <v>89</v>
      </c>
      <c r="S58" s="22">
        <v>5</v>
      </c>
      <c r="T58" s="22"/>
      <c r="U58" s="22"/>
      <c r="V58" s="22"/>
      <c r="W58" s="22"/>
      <c r="X58" s="23" t="s">
        <v>604</v>
      </c>
      <c r="Y58" s="23">
        <v>120</v>
      </c>
      <c r="Z58" s="23"/>
      <c r="AA58" s="23"/>
      <c r="AC58" s="22" t="s">
        <v>295</v>
      </c>
      <c r="AD58" s="22">
        <v>4500</v>
      </c>
      <c r="AE58" s="22" t="s">
        <v>289</v>
      </c>
      <c r="AF58" s="22">
        <v>400</v>
      </c>
      <c r="AG58" s="22"/>
      <c r="AH58" s="22"/>
      <c r="AJ58" s="23"/>
      <c r="AK58" s="23"/>
      <c r="AL58" s="23"/>
      <c r="AM58" s="23"/>
      <c r="AN58" s="23"/>
      <c r="AO58" s="23"/>
      <c r="AZ58" s="19"/>
      <c r="BA58" s="19"/>
      <c r="BB58" s="19"/>
    </row>
    <row r="59" customHeight="1" spans="1:54">
      <c r="A59" s="18" t="s">
        <v>439</v>
      </c>
      <c r="B59" s="18" t="s">
        <v>436</v>
      </c>
      <c r="D59" s="19"/>
      <c r="E59" s="19"/>
      <c r="G59" s="20" t="s">
        <v>362</v>
      </c>
      <c r="H59" s="20" t="s">
        <v>362</v>
      </c>
      <c r="J59" s="20"/>
      <c r="K59" s="20"/>
      <c r="L59" s="20"/>
      <c r="N59" s="22" t="s">
        <v>25</v>
      </c>
      <c r="O59" s="22">
        <v>10</v>
      </c>
      <c r="P59" s="22" t="s">
        <v>91</v>
      </c>
      <c r="Q59" s="22">
        <v>10</v>
      </c>
      <c r="R59" s="22" t="s">
        <v>89</v>
      </c>
      <c r="S59" s="22">
        <v>10</v>
      </c>
      <c r="T59" s="22" t="s">
        <v>114</v>
      </c>
      <c r="U59" s="22">
        <v>5</v>
      </c>
      <c r="V59" s="22"/>
      <c r="W59" s="22"/>
      <c r="X59" s="23" t="s">
        <v>604</v>
      </c>
      <c r="Y59" s="23">
        <v>160</v>
      </c>
      <c r="Z59" s="23"/>
      <c r="AA59" s="23"/>
      <c r="AC59" s="22" t="s">
        <v>295</v>
      </c>
      <c r="AD59" s="22">
        <v>4000</v>
      </c>
      <c r="AE59" s="22" t="s">
        <v>289</v>
      </c>
      <c r="AF59" s="22">
        <v>900</v>
      </c>
      <c r="AG59" s="22"/>
      <c r="AH59" s="22"/>
      <c r="AJ59" s="23"/>
      <c r="AK59" s="23"/>
      <c r="AL59" s="23"/>
      <c r="AM59" s="23"/>
      <c r="AN59" s="23"/>
      <c r="AO59" s="23"/>
      <c r="AZ59" s="19"/>
      <c r="BA59" s="19"/>
      <c r="BB59" s="19"/>
    </row>
    <row r="60" customHeight="1" spans="1:54">
      <c r="A60" s="18" t="s">
        <v>605</v>
      </c>
      <c r="B60" s="18" t="s">
        <v>440</v>
      </c>
      <c r="D60" s="19"/>
      <c r="E60" s="19"/>
      <c r="G60" s="20" t="s">
        <v>362</v>
      </c>
      <c r="H60" s="20" t="s">
        <v>362</v>
      </c>
      <c r="J60" s="20"/>
      <c r="K60" s="20"/>
      <c r="L60" s="20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3"/>
      <c r="Y60" s="23"/>
      <c r="Z60" s="23"/>
      <c r="AA60" s="23"/>
      <c r="AC60" s="22"/>
      <c r="AD60" s="22"/>
      <c r="AE60" s="22"/>
      <c r="AF60" s="22"/>
      <c r="AG60" s="22"/>
      <c r="AH60" s="22"/>
      <c r="AJ60" s="23"/>
      <c r="AK60" s="23"/>
      <c r="AL60" s="23"/>
      <c r="AM60" s="23"/>
      <c r="AN60" s="23"/>
      <c r="AO60" s="23"/>
      <c r="AZ60" s="19"/>
      <c r="BA60" s="19"/>
      <c r="BB60" s="19"/>
    </row>
    <row r="61" customHeight="1" spans="1:54">
      <c r="A61" s="18" t="s">
        <v>441</v>
      </c>
      <c r="B61" s="18" t="s">
        <v>440</v>
      </c>
      <c r="D61" s="19"/>
      <c r="E61" s="19"/>
      <c r="G61" s="20" t="s">
        <v>438</v>
      </c>
      <c r="H61" s="20" t="s">
        <v>439</v>
      </c>
      <c r="J61" s="20"/>
      <c r="K61" s="20"/>
      <c r="L61" s="20"/>
      <c r="N61" s="22" t="s">
        <v>89</v>
      </c>
      <c r="O61" s="22">
        <v>2</v>
      </c>
      <c r="P61" s="22" t="s">
        <v>118</v>
      </c>
      <c r="Q61" s="22">
        <v>1</v>
      </c>
      <c r="R61" s="22" t="s">
        <v>116</v>
      </c>
      <c r="S61" s="22">
        <v>2</v>
      </c>
      <c r="T61" s="22"/>
      <c r="U61" s="22"/>
      <c r="V61" s="22"/>
      <c r="W61" s="22"/>
      <c r="X61" s="23"/>
      <c r="Y61" s="23"/>
      <c r="Z61" s="23"/>
      <c r="AA61" s="23"/>
      <c r="AC61" s="22" t="s">
        <v>295</v>
      </c>
      <c r="AD61" s="22">
        <v>-1000</v>
      </c>
      <c r="AE61" s="22" t="s">
        <v>289</v>
      </c>
      <c r="AF61" s="22">
        <v>100</v>
      </c>
      <c r="AG61" s="22"/>
      <c r="AH61" s="22"/>
      <c r="AJ61" s="23"/>
      <c r="AK61" s="23"/>
      <c r="AL61" s="23"/>
      <c r="AM61" s="23"/>
      <c r="AN61" s="23"/>
      <c r="AO61" s="23"/>
      <c r="AZ61" s="19"/>
      <c r="BA61" s="19"/>
      <c r="BB61" s="19"/>
    </row>
    <row r="62" customHeight="1" spans="1:54">
      <c r="A62" s="18" t="s">
        <v>442</v>
      </c>
      <c r="B62" s="18" t="s">
        <v>440</v>
      </c>
      <c r="D62" s="19"/>
      <c r="E62" s="19"/>
      <c r="G62" s="20" t="s">
        <v>438</v>
      </c>
      <c r="H62" s="20" t="s">
        <v>439</v>
      </c>
      <c r="J62" s="20"/>
      <c r="K62" s="20"/>
      <c r="L62" s="20"/>
      <c r="N62" s="22" t="s">
        <v>89</v>
      </c>
      <c r="O62" s="22">
        <v>3</v>
      </c>
      <c r="P62" s="22" t="s">
        <v>118</v>
      </c>
      <c r="Q62" s="22">
        <v>2</v>
      </c>
      <c r="R62" s="22" t="s">
        <v>116</v>
      </c>
      <c r="S62" s="22">
        <v>3</v>
      </c>
      <c r="T62" s="22"/>
      <c r="U62" s="22"/>
      <c r="V62" s="22"/>
      <c r="W62" s="22"/>
      <c r="X62" s="23"/>
      <c r="Y62" s="23"/>
      <c r="Z62" s="23"/>
      <c r="AA62" s="23"/>
      <c r="AC62" s="22" t="s">
        <v>295</v>
      </c>
      <c r="AD62" s="22">
        <v>-2000</v>
      </c>
      <c r="AE62" s="22" t="s">
        <v>289</v>
      </c>
      <c r="AF62" s="22">
        <v>200</v>
      </c>
      <c r="AG62" s="22"/>
      <c r="AH62" s="22"/>
      <c r="AJ62" s="23"/>
      <c r="AK62" s="23"/>
      <c r="AL62" s="23"/>
      <c r="AM62" s="23"/>
      <c r="AN62" s="23"/>
      <c r="AO62" s="23"/>
      <c r="AZ62" s="19"/>
      <c r="BA62" s="19"/>
      <c r="BB62" s="19"/>
    </row>
    <row r="63" customHeight="1" spans="1:54">
      <c r="A63" s="18" t="s">
        <v>443</v>
      </c>
      <c r="B63" s="18" t="s">
        <v>440</v>
      </c>
      <c r="D63" s="19"/>
      <c r="E63" s="19"/>
      <c r="G63" s="20" t="s">
        <v>438</v>
      </c>
      <c r="H63" s="20" t="s">
        <v>439</v>
      </c>
      <c r="J63" s="20"/>
      <c r="K63" s="20"/>
      <c r="L63" s="20"/>
      <c r="N63" s="22" t="s">
        <v>89</v>
      </c>
      <c r="O63" s="22">
        <v>4</v>
      </c>
      <c r="P63" s="22" t="s">
        <v>118</v>
      </c>
      <c r="Q63" s="22">
        <v>3</v>
      </c>
      <c r="R63" s="22" t="s">
        <v>116</v>
      </c>
      <c r="S63" s="22">
        <v>4</v>
      </c>
      <c r="T63" s="22"/>
      <c r="U63" s="22"/>
      <c r="V63" s="22"/>
      <c r="W63" s="22"/>
      <c r="X63" s="23"/>
      <c r="Y63" s="23"/>
      <c r="Z63" s="23"/>
      <c r="AA63" s="23"/>
      <c r="AC63" s="22" t="s">
        <v>295</v>
      </c>
      <c r="AD63" s="22">
        <v>-3000</v>
      </c>
      <c r="AE63" s="22" t="s">
        <v>289</v>
      </c>
      <c r="AF63" s="22">
        <v>300</v>
      </c>
      <c r="AG63" s="22"/>
      <c r="AH63" s="22"/>
      <c r="AJ63" s="23"/>
      <c r="AK63" s="23"/>
      <c r="AL63" s="23"/>
      <c r="AM63" s="23"/>
      <c r="AN63" s="23"/>
      <c r="AO63" s="23"/>
      <c r="AZ63" s="19"/>
      <c r="BA63" s="19"/>
      <c r="BB63" s="19"/>
    </row>
    <row r="64" customHeight="1" spans="1:54">
      <c r="A64" s="18" t="s">
        <v>444</v>
      </c>
      <c r="B64" s="18" t="s">
        <v>440</v>
      </c>
      <c r="D64" s="19"/>
      <c r="E64" s="19"/>
      <c r="G64" s="20" t="s">
        <v>362</v>
      </c>
      <c r="H64" s="20" t="s">
        <v>439</v>
      </c>
      <c r="J64" s="20"/>
      <c r="K64" s="20"/>
      <c r="L64" s="20"/>
      <c r="N64" s="22" t="s">
        <v>89</v>
      </c>
      <c r="O64" s="22">
        <v>3</v>
      </c>
      <c r="P64" s="22" t="s">
        <v>118</v>
      </c>
      <c r="Q64" s="22">
        <v>2</v>
      </c>
      <c r="R64" s="22" t="s">
        <v>116</v>
      </c>
      <c r="S64" s="22">
        <v>4</v>
      </c>
      <c r="T64" s="22" t="s">
        <v>23</v>
      </c>
      <c r="U64" s="22">
        <v>5</v>
      </c>
      <c r="V64" s="22" t="s">
        <v>116</v>
      </c>
      <c r="W64" s="22">
        <v>5</v>
      </c>
      <c r="X64" s="23"/>
      <c r="Y64" s="23"/>
      <c r="Z64" s="23"/>
      <c r="AA64" s="23"/>
      <c r="AC64" s="22" t="s">
        <v>295</v>
      </c>
      <c r="AD64" s="22">
        <v>-4000</v>
      </c>
      <c r="AE64" s="22" t="s">
        <v>289</v>
      </c>
      <c r="AF64" s="22">
        <v>400</v>
      </c>
      <c r="AG64" s="22"/>
      <c r="AH64" s="22"/>
      <c r="AJ64" s="23"/>
      <c r="AK64" s="23"/>
      <c r="AL64" s="23"/>
      <c r="AM64" s="23"/>
      <c r="AN64" s="23"/>
      <c r="AO64" s="23"/>
      <c r="AZ64" s="19"/>
      <c r="BA64" s="19"/>
      <c r="BB64" s="19"/>
    </row>
    <row r="65" customHeight="1" spans="1:54">
      <c r="A65" s="21" t="s">
        <v>446</v>
      </c>
      <c r="B65" s="21" t="s">
        <v>445</v>
      </c>
      <c r="D65" s="19"/>
      <c r="E65" s="19"/>
      <c r="G65" s="20" t="s">
        <v>362</v>
      </c>
      <c r="H65" s="20" t="s">
        <v>362</v>
      </c>
      <c r="J65" s="20"/>
      <c r="K65" s="20"/>
      <c r="L65" s="20"/>
      <c r="N65" s="22" t="s">
        <v>91</v>
      </c>
      <c r="O65" s="22">
        <v>10</v>
      </c>
      <c r="P65" s="22"/>
      <c r="Q65" s="22"/>
      <c r="R65" s="22"/>
      <c r="S65" s="22"/>
      <c r="T65" s="22"/>
      <c r="U65" s="22"/>
      <c r="V65" s="22"/>
      <c r="W65" s="22"/>
      <c r="X65" s="23" t="s">
        <v>89</v>
      </c>
      <c r="Y65" s="23">
        <v>40</v>
      </c>
      <c r="Z65" s="23"/>
      <c r="AA65" s="23"/>
      <c r="AC65" s="22" t="s">
        <v>295</v>
      </c>
      <c r="AD65" s="22">
        <v>4500</v>
      </c>
      <c r="AE65" s="22" t="s">
        <v>289</v>
      </c>
      <c r="AF65" s="22">
        <v>400</v>
      </c>
      <c r="AG65" s="22"/>
      <c r="AH65" s="22"/>
      <c r="AJ65" s="23"/>
      <c r="AK65" s="23"/>
      <c r="AL65" s="23"/>
      <c r="AM65" s="23"/>
      <c r="AN65" s="23"/>
      <c r="AO65" s="23"/>
      <c r="AZ65" s="19"/>
      <c r="BA65" s="19"/>
      <c r="BB65" s="19"/>
    </row>
    <row r="66" customHeight="1" spans="1:54">
      <c r="A66" s="21" t="s">
        <v>447</v>
      </c>
      <c r="B66" s="21" t="s">
        <v>445</v>
      </c>
      <c r="D66" s="19"/>
      <c r="E66" s="19"/>
      <c r="G66" s="20" t="s">
        <v>362</v>
      </c>
      <c r="H66" s="20" t="s">
        <v>362</v>
      </c>
      <c r="J66" s="20"/>
      <c r="K66" s="20"/>
      <c r="L66" s="20"/>
      <c r="N66" s="22" t="s">
        <v>91</v>
      </c>
      <c r="O66" s="22">
        <v>15</v>
      </c>
      <c r="P66" s="22"/>
      <c r="Q66" s="22"/>
      <c r="R66" s="22"/>
      <c r="S66" s="22"/>
      <c r="T66" s="22"/>
      <c r="U66" s="22"/>
      <c r="V66" s="22"/>
      <c r="W66" s="22"/>
      <c r="X66" s="23" t="s">
        <v>89</v>
      </c>
      <c r="Y66" s="23">
        <v>65</v>
      </c>
      <c r="Z66" s="23"/>
      <c r="AA66" s="23"/>
      <c r="AC66" s="22" t="s">
        <v>295</v>
      </c>
      <c r="AD66" s="22">
        <v>4300</v>
      </c>
      <c r="AE66" s="22" t="s">
        <v>289</v>
      </c>
      <c r="AF66" s="22">
        <v>600</v>
      </c>
      <c r="AG66" s="22"/>
      <c r="AH66" s="22"/>
      <c r="AJ66" s="23"/>
      <c r="AK66" s="23"/>
      <c r="AL66" s="23"/>
      <c r="AM66" s="23"/>
      <c r="AN66" s="23"/>
      <c r="AO66" s="23"/>
      <c r="AZ66" s="19"/>
      <c r="BA66" s="19"/>
      <c r="BB66" s="19"/>
    </row>
    <row r="67" customHeight="1" spans="1:54">
      <c r="A67" s="21" t="s">
        <v>448</v>
      </c>
      <c r="B67" s="21" t="s">
        <v>445</v>
      </c>
      <c r="D67" s="19"/>
      <c r="E67" s="19"/>
      <c r="G67" s="20" t="s">
        <v>362</v>
      </c>
      <c r="H67" s="20" t="s">
        <v>362</v>
      </c>
      <c r="J67" s="20"/>
      <c r="K67" s="20"/>
      <c r="L67" s="20"/>
      <c r="N67" s="22" t="s">
        <v>91</v>
      </c>
      <c r="O67" s="22">
        <v>20</v>
      </c>
      <c r="P67" s="22"/>
      <c r="Q67" s="22"/>
      <c r="R67" s="22"/>
      <c r="S67" s="22"/>
      <c r="T67" s="22"/>
      <c r="U67" s="22"/>
      <c r="V67" s="22"/>
      <c r="W67" s="22"/>
      <c r="X67" s="23" t="s">
        <v>89</v>
      </c>
      <c r="Y67" s="23">
        <v>90</v>
      </c>
      <c r="Z67" s="23"/>
      <c r="AA67" s="23"/>
      <c r="AC67" s="22" t="s">
        <v>295</v>
      </c>
      <c r="AD67" s="22">
        <v>4000</v>
      </c>
      <c r="AE67" s="22" t="s">
        <v>289</v>
      </c>
      <c r="AF67" s="22">
        <v>900</v>
      </c>
      <c r="AG67" s="22"/>
      <c r="AH67" s="22"/>
      <c r="AJ67" s="23"/>
      <c r="AK67" s="23"/>
      <c r="AL67" s="23"/>
      <c r="AM67" s="23"/>
      <c r="AN67" s="23"/>
      <c r="AO67" s="23"/>
      <c r="AZ67" s="19"/>
      <c r="BA67" s="19"/>
      <c r="BB67" s="19"/>
    </row>
    <row r="68" customHeight="1" spans="1:54">
      <c r="A68" s="21" t="s">
        <v>450</v>
      </c>
      <c r="B68" s="21" t="s">
        <v>449</v>
      </c>
      <c r="D68" s="19"/>
      <c r="E68" s="19"/>
      <c r="G68" s="20" t="s">
        <v>362</v>
      </c>
      <c r="H68" s="20" t="s">
        <v>362</v>
      </c>
      <c r="J68" s="20"/>
      <c r="K68" s="20"/>
      <c r="L68" s="20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3"/>
      <c r="Y68" s="23"/>
      <c r="Z68" s="23"/>
      <c r="AA68" s="23"/>
      <c r="AC68" s="22"/>
      <c r="AD68" s="22"/>
      <c r="AE68" s="22"/>
      <c r="AF68" s="22"/>
      <c r="AG68" s="22"/>
      <c r="AH68" s="22"/>
      <c r="AJ68" s="23"/>
      <c r="AK68" s="23"/>
      <c r="AL68" s="23"/>
      <c r="AM68" s="23"/>
      <c r="AN68" s="23"/>
      <c r="AO68" s="23"/>
      <c r="AZ68" s="19"/>
      <c r="BA68" s="19"/>
      <c r="BB68" s="19"/>
    </row>
    <row r="69" customHeight="1" spans="1:54">
      <c r="A69" s="21" t="s">
        <v>451</v>
      </c>
      <c r="B69" s="21" t="s">
        <v>449</v>
      </c>
      <c r="D69" s="19"/>
      <c r="E69" s="19"/>
      <c r="G69" s="20" t="s">
        <v>362</v>
      </c>
      <c r="H69" s="20" t="s">
        <v>362</v>
      </c>
      <c r="J69" s="20"/>
      <c r="K69" s="20"/>
      <c r="L69" s="20"/>
      <c r="N69" s="22" t="s">
        <v>91</v>
      </c>
      <c r="O69" s="22">
        <v>5</v>
      </c>
      <c r="P69" s="22" t="s">
        <v>89</v>
      </c>
      <c r="Q69" s="22">
        <v>5</v>
      </c>
      <c r="R69" s="22" t="s">
        <v>114</v>
      </c>
      <c r="S69" s="22">
        <v>5</v>
      </c>
      <c r="T69" s="22" t="s">
        <v>81</v>
      </c>
      <c r="U69" s="22">
        <v>5</v>
      </c>
      <c r="V69" s="22" t="s">
        <v>79</v>
      </c>
      <c r="W69" s="22">
        <v>5</v>
      </c>
      <c r="X69" s="23" t="s">
        <v>606</v>
      </c>
      <c r="Y69" s="23">
        <v>40</v>
      </c>
      <c r="Z69" s="23"/>
      <c r="AA69" s="23"/>
      <c r="AC69" s="22" t="s">
        <v>578</v>
      </c>
      <c r="AD69" s="22">
        <v>100</v>
      </c>
      <c r="AE69" s="22" t="s">
        <v>289</v>
      </c>
      <c r="AF69" s="22">
        <v>100</v>
      </c>
      <c r="AG69" s="22"/>
      <c r="AH69" s="22"/>
      <c r="AJ69" s="23"/>
      <c r="AK69" s="23"/>
      <c r="AL69" s="23"/>
      <c r="AM69" s="23"/>
      <c r="AN69" s="23"/>
      <c r="AO69" s="23"/>
      <c r="AZ69" s="19"/>
      <c r="BA69" s="19"/>
      <c r="BB69" s="19"/>
    </row>
    <row r="70" customHeight="1" spans="1:54">
      <c r="A70" s="21" t="s">
        <v>607</v>
      </c>
      <c r="B70" s="21" t="s">
        <v>452</v>
      </c>
      <c r="D70" s="19"/>
      <c r="E70" s="19"/>
      <c r="G70" s="20" t="s">
        <v>362</v>
      </c>
      <c r="H70" s="20" t="s">
        <v>362</v>
      </c>
      <c r="J70" s="20"/>
      <c r="K70" s="20"/>
      <c r="L70" s="20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3"/>
      <c r="Y70" s="23"/>
      <c r="Z70" s="23"/>
      <c r="AA70" s="23"/>
      <c r="AC70" s="22"/>
      <c r="AD70" s="22"/>
      <c r="AE70" s="22"/>
      <c r="AF70" s="22"/>
      <c r="AG70" s="22"/>
      <c r="AH70" s="22"/>
      <c r="AJ70" s="23"/>
      <c r="AK70" s="23"/>
      <c r="AL70" s="23"/>
      <c r="AM70" s="23"/>
      <c r="AN70" s="23"/>
      <c r="AO70" s="23"/>
      <c r="AZ70" s="19"/>
      <c r="BA70" s="19"/>
      <c r="BB70" s="19"/>
    </row>
    <row r="71" customHeight="1" spans="1:54">
      <c r="A71" s="21" t="s">
        <v>453</v>
      </c>
      <c r="B71" s="21" t="s">
        <v>452</v>
      </c>
      <c r="D71" s="19"/>
      <c r="E71" s="19"/>
      <c r="G71" s="20" t="s">
        <v>362</v>
      </c>
      <c r="H71" s="20" t="s">
        <v>362</v>
      </c>
      <c r="J71" s="20"/>
      <c r="K71" s="20"/>
      <c r="L71" s="20"/>
      <c r="N71" s="22" t="s">
        <v>89</v>
      </c>
      <c r="O71" s="22">
        <v>2</v>
      </c>
      <c r="P71" s="22" t="s">
        <v>118</v>
      </c>
      <c r="Q71" s="22">
        <v>1</v>
      </c>
      <c r="R71" s="22" t="s">
        <v>116</v>
      </c>
      <c r="S71" s="22">
        <v>2</v>
      </c>
      <c r="T71" s="22"/>
      <c r="U71" s="22"/>
      <c r="V71" s="22"/>
      <c r="W71" s="22"/>
      <c r="X71" s="23"/>
      <c r="Y71" s="23"/>
      <c r="Z71" s="23"/>
      <c r="AA71" s="23"/>
      <c r="AC71" s="22" t="s">
        <v>295</v>
      </c>
      <c r="AD71" s="22">
        <v>-1000</v>
      </c>
      <c r="AE71" s="22" t="s">
        <v>289</v>
      </c>
      <c r="AF71" s="22">
        <v>100</v>
      </c>
      <c r="AG71" s="22"/>
      <c r="AH71" s="22"/>
      <c r="AJ71" s="23"/>
      <c r="AK71" s="23"/>
      <c r="AL71" s="23"/>
      <c r="AM71" s="23"/>
      <c r="AN71" s="23"/>
      <c r="AO71" s="23"/>
      <c r="AZ71" s="19"/>
      <c r="BA71" s="19"/>
      <c r="BB71" s="19"/>
    </row>
    <row r="72" customHeight="1" spans="1:54">
      <c r="A72" s="21" t="s">
        <v>454</v>
      </c>
      <c r="B72" s="21" t="s">
        <v>452</v>
      </c>
      <c r="D72" s="19"/>
      <c r="E72" s="19"/>
      <c r="G72" s="20" t="s">
        <v>362</v>
      </c>
      <c r="H72" s="20" t="s">
        <v>362</v>
      </c>
      <c r="J72" s="20"/>
      <c r="K72" s="20"/>
      <c r="L72" s="20"/>
      <c r="N72" s="22" t="s">
        <v>89</v>
      </c>
      <c r="O72" s="22">
        <v>3</v>
      </c>
      <c r="P72" s="22" t="s">
        <v>118</v>
      </c>
      <c r="Q72" s="22">
        <v>2</v>
      </c>
      <c r="R72" s="22" t="s">
        <v>116</v>
      </c>
      <c r="S72" s="22">
        <v>3</v>
      </c>
      <c r="T72" s="22"/>
      <c r="U72" s="22"/>
      <c r="V72" s="22"/>
      <c r="W72" s="22"/>
      <c r="X72" s="23"/>
      <c r="Y72" s="23"/>
      <c r="Z72" s="23"/>
      <c r="AA72" s="23"/>
      <c r="AC72" s="22" t="s">
        <v>295</v>
      </c>
      <c r="AD72" s="22">
        <v>-2000</v>
      </c>
      <c r="AE72" s="22" t="s">
        <v>289</v>
      </c>
      <c r="AF72" s="22">
        <v>200</v>
      </c>
      <c r="AG72" s="22"/>
      <c r="AH72" s="22"/>
      <c r="AJ72" s="23"/>
      <c r="AK72" s="23"/>
      <c r="AL72" s="23"/>
      <c r="AM72" s="23"/>
      <c r="AN72" s="23"/>
      <c r="AO72" s="23"/>
      <c r="AZ72" s="19"/>
      <c r="BA72" s="19"/>
      <c r="BB72" s="19"/>
    </row>
    <row r="73" customHeight="1" spans="1:54">
      <c r="A73" s="21" t="s">
        <v>455</v>
      </c>
      <c r="B73" s="21" t="s">
        <v>452</v>
      </c>
      <c r="D73" s="19"/>
      <c r="E73" s="19"/>
      <c r="G73" s="20" t="s">
        <v>362</v>
      </c>
      <c r="H73" s="20" t="s">
        <v>362</v>
      </c>
      <c r="J73" s="20"/>
      <c r="K73" s="20"/>
      <c r="L73" s="20"/>
      <c r="N73" s="22" t="s">
        <v>89</v>
      </c>
      <c r="O73" s="22">
        <v>4</v>
      </c>
      <c r="P73" s="22" t="s">
        <v>118</v>
      </c>
      <c r="Q73" s="22">
        <v>3</v>
      </c>
      <c r="R73" s="22" t="s">
        <v>116</v>
      </c>
      <c r="S73" s="22">
        <v>4</v>
      </c>
      <c r="T73" s="22"/>
      <c r="U73" s="22"/>
      <c r="V73" s="22"/>
      <c r="W73" s="22"/>
      <c r="X73" s="23"/>
      <c r="Y73" s="23"/>
      <c r="Z73" s="23"/>
      <c r="AA73" s="23"/>
      <c r="AC73" s="22" t="s">
        <v>295</v>
      </c>
      <c r="AD73" s="22">
        <v>-3000</v>
      </c>
      <c r="AE73" s="22" t="s">
        <v>289</v>
      </c>
      <c r="AF73" s="22">
        <v>300</v>
      </c>
      <c r="AG73" s="22"/>
      <c r="AH73" s="22"/>
      <c r="AJ73" s="23"/>
      <c r="AK73" s="23"/>
      <c r="AL73" s="23"/>
      <c r="AM73" s="23"/>
      <c r="AN73" s="23"/>
      <c r="AO73" s="23"/>
      <c r="AZ73" s="19"/>
      <c r="BA73" s="19"/>
      <c r="BB73" s="19"/>
    </row>
    <row r="74" customHeight="1" spans="1:54">
      <c r="A74" s="21" t="s">
        <v>456</v>
      </c>
      <c r="B74" s="21" t="s">
        <v>452</v>
      </c>
      <c r="D74" s="19"/>
      <c r="E74" s="19"/>
      <c r="G74" s="20" t="s">
        <v>362</v>
      </c>
      <c r="H74" s="20" t="s">
        <v>362</v>
      </c>
      <c r="J74" s="20"/>
      <c r="K74" s="20"/>
      <c r="L74" s="20"/>
      <c r="N74" s="22" t="s">
        <v>89</v>
      </c>
      <c r="O74" s="22">
        <v>3</v>
      </c>
      <c r="P74" s="22" t="s">
        <v>118</v>
      </c>
      <c r="Q74" s="22">
        <v>2</v>
      </c>
      <c r="R74" s="22" t="s">
        <v>116</v>
      </c>
      <c r="S74" s="22">
        <v>4</v>
      </c>
      <c r="T74" s="22" t="s">
        <v>23</v>
      </c>
      <c r="U74" s="22">
        <v>5</v>
      </c>
      <c r="V74" s="22" t="s">
        <v>116</v>
      </c>
      <c r="W74" s="22">
        <v>5</v>
      </c>
      <c r="X74" s="23"/>
      <c r="Y74" s="23"/>
      <c r="Z74" s="23"/>
      <c r="AA74" s="23"/>
      <c r="AC74" s="22" t="s">
        <v>295</v>
      </c>
      <c r="AD74" s="22">
        <v>-4000</v>
      </c>
      <c r="AE74" s="22" t="s">
        <v>289</v>
      </c>
      <c r="AF74" s="22">
        <v>400</v>
      </c>
      <c r="AG74" s="22"/>
      <c r="AH74" s="22"/>
      <c r="AJ74" s="23"/>
      <c r="AK74" s="23"/>
      <c r="AL74" s="23"/>
      <c r="AM74" s="23"/>
      <c r="AN74" s="23"/>
      <c r="AO74" s="23"/>
      <c r="AZ74" s="19"/>
      <c r="BA74" s="19"/>
      <c r="BB74" s="19"/>
    </row>
    <row r="75" customHeight="1" spans="1:54">
      <c r="A75" s="18" t="s">
        <v>458</v>
      </c>
      <c r="B75" s="18" t="s">
        <v>457</v>
      </c>
      <c r="D75" s="19"/>
      <c r="E75" s="19"/>
      <c r="G75" s="20" t="s">
        <v>362</v>
      </c>
      <c r="H75" s="20" t="s">
        <v>362</v>
      </c>
      <c r="J75" s="20"/>
      <c r="K75" s="20"/>
      <c r="L75" s="20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3"/>
      <c r="Y75" s="23"/>
      <c r="Z75" s="23"/>
      <c r="AA75" s="23"/>
      <c r="AC75" s="22"/>
      <c r="AD75" s="22"/>
      <c r="AE75" s="22"/>
      <c r="AF75" s="22"/>
      <c r="AG75" s="22"/>
      <c r="AH75" s="22"/>
      <c r="AJ75" s="23"/>
      <c r="AK75" s="23"/>
      <c r="AL75" s="23"/>
      <c r="AM75" s="23"/>
      <c r="AN75" s="23"/>
      <c r="AO75" s="23"/>
      <c r="AZ75" s="19"/>
      <c r="BA75" s="19"/>
      <c r="BB75" s="19"/>
    </row>
    <row r="76" customHeight="1" spans="1:54">
      <c r="A76" s="18" t="s">
        <v>459</v>
      </c>
      <c r="B76" s="18" t="s">
        <v>457</v>
      </c>
      <c r="D76" s="19"/>
      <c r="E76" s="19"/>
      <c r="G76" s="20" t="s">
        <v>362</v>
      </c>
      <c r="H76" s="20" t="s">
        <v>362</v>
      </c>
      <c r="J76" s="20"/>
      <c r="K76" s="20"/>
      <c r="L76" s="20"/>
      <c r="N76" s="22" t="s">
        <v>25</v>
      </c>
      <c r="O76" s="22">
        <v>10</v>
      </c>
      <c r="P76" s="22" t="s">
        <v>596</v>
      </c>
      <c r="Q76" s="22">
        <v>10</v>
      </c>
      <c r="R76" s="22"/>
      <c r="S76" s="22"/>
      <c r="T76" s="22"/>
      <c r="U76" s="22"/>
      <c r="V76" s="22"/>
      <c r="W76" s="22"/>
      <c r="X76" s="23" t="s">
        <v>132</v>
      </c>
      <c r="Y76" s="23">
        <v>40</v>
      </c>
      <c r="Z76" s="23"/>
      <c r="AA76" s="23"/>
      <c r="AC76" s="22" t="s">
        <v>295</v>
      </c>
      <c r="AD76" s="22">
        <v>2000</v>
      </c>
      <c r="AE76" s="22" t="s">
        <v>584</v>
      </c>
      <c r="AF76" s="22">
        <v>350</v>
      </c>
      <c r="AG76" s="22" t="s">
        <v>288</v>
      </c>
      <c r="AH76" s="22">
        <v>100</v>
      </c>
      <c r="AJ76" s="23"/>
      <c r="AK76" s="23"/>
      <c r="AL76" s="23"/>
      <c r="AM76" s="23"/>
      <c r="AN76" s="23"/>
      <c r="AO76" s="23"/>
      <c r="AZ76" s="19"/>
      <c r="BA76" s="19"/>
      <c r="BB76" s="19"/>
    </row>
    <row r="77" customHeight="1" spans="1:54">
      <c r="A77" s="18" t="s">
        <v>460</v>
      </c>
      <c r="B77" s="18" t="s">
        <v>457</v>
      </c>
      <c r="D77" s="19"/>
      <c r="E77" s="19"/>
      <c r="G77" s="20" t="s">
        <v>362</v>
      </c>
      <c r="H77" s="20" t="s">
        <v>362</v>
      </c>
      <c r="J77" s="20"/>
      <c r="K77" s="20"/>
      <c r="L77" s="20"/>
      <c r="N77" s="22" t="s">
        <v>25</v>
      </c>
      <c r="O77" s="22">
        <v>10</v>
      </c>
      <c r="P77" s="22" t="s">
        <v>114</v>
      </c>
      <c r="Q77" s="22">
        <v>10</v>
      </c>
      <c r="R77" s="22"/>
      <c r="S77" s="22"/>
      <c r="T77" s="22" t="s">
        <v>596</v>
      </c>
      <c r="U77" s="22">
        <v>10</v>
      </c>
      <c r="V77" s="22"/>
      <c r="W77" s="22"/>
      <c r="X77" s="23" t="s">
        <v>132</v>
      </c>
      <c r="Y77" s="23">
        <v>80</v>
      </c>
      <c r="Z77" s="23"/>
      <c r="AA77" s="23"/>
      <c r="AC77" s="22" t="s">
        <v>295</v>
      </c>
      <c r="AD77" s="22">
        <v>2000</v>
      </c>
      <c r="AE77" s="22" t="s">
        <v>288</v>
      </c>
      <c r="AF77" s="22">
        <v>250</v>
      </c>
      <c r="AG77" s="22" t="s">
        <v>289</v>
      </c>
      <c r="AH77" s="22">
        <v>250</v>
      </c>
      <c r="AJ77" s="23"/>
      <c r="AK77" s="23"/>
      <c r="AL77" s="23"/>
      <c r="AM77" s="23"/>
      <c r="AN77" s="23"/>
      <c r="AO77" s="23"/>
      <c r="AZ77" s="19"/>
      <c r="BA77" s="19"/>
      <c r="BB77" s="19"/>
    </row>
    <row r="78" customHeight="1" spans="1:54">
      <c r="A78" s="18" t="s">
        <v>462</v>
      </c>
      <c r="B78" s="18" t="s">
        <v>461</v>
      </c>
      <c r="D78" s="19"/>
      <c r="E78" s="19"/>
      <c r="G78" s="20" t="s">
        <v>362</v>
      </c>
      <c r="H78" s="20" t="s">
        <v>362</v>
      </c>
      <c r="J78" s="20"/>
      <c r="K78" s="20"/>
      <c r="L78" s="20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3"/>
      <c r="Y78" s="23"/>
      <c r="Z78" s="23"/>
      <c r="AA78" s="23"/>
      <c r="AC78" s="22"/>
      <c r="AD78" s="22"/>
      <c r="AE78" s="22"/>
      <c r="AF78" s="22"/>
      <c r="AG78" s="22"/>
      <c r="AH78" s="22"/>
      <c r="AJ78" s="23"/>
      <c r="AK78" s="23"/>
      <c r="AL78" s="23"/>
      <c r="AM78" s="23"/>
      <c r="AN78" s="23"/>
      <c r="AO78" s="23"/>
      <c r="AZ78" s="19"/>
      <c r="BA78" s="19"/>
      <c r="BB78" s="19"/>
    </row>
    <row r="79" customHeight="1" spans="1:54">
      <c r="A79" s="18" t="s">
        <v>463</v>
      </c>
      <c r="B79" s="18" t="s">
        <v>461</v>
      </c>
      <c r="D79" s="19"/>
      <c r="E79" s="19"/>
      <c r="G79" s="20" t="s">
        <v>362</v>
      </c>
      <c r="H79" s="20" t="s">
        <v>362</v>
      </c>
      <c r="J79" s="20"/>
      <c r="K79" s="20"/>
      <c r="L79" s="20"/>
      <c r="N79" s="22" t="s">
        <v>25</v>
      </c>
      <c r="O79" s="22">
        <v>10</v>
      </c>
      <c r="P79" s="22" t="s">
        <v>596</v>
      </c>
      <c r="Q79" s="22">
        <v>5</v>
      </c>
      <c r="R79" s="22"/>
      <c r="S79" s="22"/>
      <c r="T79" s="22"/>
      <c r="U79" s="22"/>
      <c r="V79" s="22"/>
      <c r="W79" s="22"/>
      <c r="X79" s="23" t="s">
        <v>134</v>
      </c>
      <c r="Y79" s="23">
        <v>30</v>
      </c>
      <c r="Z79" s="23"/>
      <c r="AA79" s="23"/>
      <c r="AC79" s="22" t="s">
        <v>295</v>
      </c>
      <c r="AD79" s="22">
        <v>2000</v>
      </c>
      <c r="AE79" s="22" t="s">
        <v>584</v>
      </c>
      <c r="AF79" s="22">
        <v>350</v>
      </c>
      <c r="AG79" s="22" t="s">
        <v>288</v>
      </c>
      <c r="AH79" s="22">
        <v>100</v>
      </c>
      <c r="AJ79" s="23"/>
      <c r="AK79" s="23"/>
      <c r="AL79" s="23"/>
      <c r="AM79" s="23"/>
      <c r="AN79" s="23"/>
      <c r="AO79" s="23"/>
      <c r="AZ79" s="19"/>
      <c r="BA79" s="19"/>
      <c r="BB79" s="19"/>
    </row>
    <row r="80" customHeight="1" spans="1:54">
      <c r="A80" s="18" t="s">
        <v>608</v>
      </c>
      <c r="B80" s="18" t="s">
        <v>461</v>
      </c>
      <c r="D80" s="19"/>
      <c r="E80" s="19"/>
      <c r="G80" s="20" t="s">
        <v>362</v>
      </c>
      <c r="H80" s="20" t="s">
        <v>362</v>
      </c>
      <c r="J80" s="20"/>
      <c r="K80" s="20"/>
      <c r="L80" s="20"/>
      <c r="N80" s="22" t="s">
        <v>25</v>
      </c>
      <c r="O80" s="22">
        <v>10</v>
      </c>
      <c r="P80" s="22" t="s">
        <v>114</v>
      </c>
      <c r="Q80" s="22">
        <v>5</v>
      </c>
      <c r="R80" s="22" t="s">
        <v>91</v>
      </c>
      <c r="S80" s="22">
        <v>5</v>
      </c>
      <c r="T80" s="22" t="s">
        <v>596</v>
      </c>
      <c r="U80" s="22">
        <v>5</v>
      </c>
      <c r="V80" s="22"/>
      <c r="W80" s="22"/>
      <c r="X80" s="23" t="s">
        <v>137</v>
      </c>
      <c r="Y80" s="23">
        <v>50</v>
      </c>
      <c r="Z80" s="23"/>
      <c r="AA80" s="23"/>
      <c r="AC80" s="22" t="s">
        <v>584</v>
      </c>
      <c r="AD80" s="22">
        <v>1000</v>
      </c>
      <c r="AE80" s="22" t="s">
        <v>288</v>
      </c>
      <c r="AF80" s="22">
        <v>250</v>
      </c>
      <c r="AG80" s="22" t="s">
        <v>289</v>
      </c>
      <c r="AH80" s="22">
        <v>250</v>
      </c>
      <c r="AJ80" s="23"/>
      <c r="AK80" s="23"/>
      <c r="AL80" s="23"/>
      <c r="AM80" s="23"/>
      <c r="AN80" s="23"/>
      <c r="AO80" s="23"/>
      <c r="AZ80" s="19"/>
      <c r="BA80" s="19"/>
      <c r="BB80" s="19"/>
    </row>
    <row r="81" customHeight="1" spans="1:54">
      <c r="A81" s="18" t="s">
        <v>609</v>
      </c>
      <c r="B81" s="18" t="s">
        <v>465</v>
      </c>
      <c r="D81" s="19"/>
      <c r="E81" s="19"/>
      <c r="G81" s="20" t="s">
        <v>362</v>
      </c>
      <c r="H81" s="20" t="s">
        <v>362</v>
      </c>
      <c r="J81" s="20"/>
      <c r="K81" s="20"/>
      <c r="L81" s="20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3"/>
      <c r="Y81" s="23"/>
      <c r="Z81" s="23"/>
      <c r="AA81" s="23"/>
      <c r="AC81" s="22"/>
      <c r="AD81" s="22"/>
      <c r="AE81" s="22"/>
      <c r="AF81" s="22"/>
      <c r="AG81" s="22"/>
      <c r="AH81" s="22"/>
      <c r="AJ81" s="23"/>
      <c r="AK81" s="23"/>
      <c r="AL81" s="23"/>
      <c r="AM81" s="23"/>
      <c r="AN81" s="23"/>
      <c r="AO81" s="23"/>
      <c r="AZ81" s="19"/>
      <c r="BA81" s="19"/>
      <c r="BB81" s="19"/>
    </row>
    <row r="82" customHeight="1" spans="1:54">
      <c r="A82" s="18" t="s">
        <v>466</v>
      </c>
      <c r="B82" s="18" t="s">
        <v>465</v>
      </c>
      <c r="D82" s="19"/>
      <c r="E82" s="19"/>
      <c r="G82" s="20" t="s">
        <v>362</v>
      </c>
      <c r="H82" s="20" t="s">
        <v>362</v>
      </c>
      <c r="J82" s="20"/>
      <c r="K82" s="20"/>
      <c r="L82" s="20"/>
      <c r="N82" s="22" t="s">
        <v>23</v>
      </c>
      <c r="O82" s="22">
        <v>2</v>
      </c>
      <c r="P82" s="22" t="s">
        <v>116</v>
      </c>
      <c r="Q82" s="22">
        <v>2</v>
      </c>
      <c r="R82" s="22"/>
      <c r="S82" s="22"/>
      <c r="T82" s="22"/>
      <c r="U82" s="22"/>
      <c r="V82" s="22"/>
      <c r="W82" s="22"/>
      <c r="X82" s="23"/>
      <c r="Y82" s="23"/>
      <c r="Z82" s="23"/>
      <c r="AA82" s="23"/>
      <c r="AC82" s="22" t="s">
        <v>295</v>
      </c>
      <c r="AD82" s="22">
        <v>-1000</v>
      </c>
      <c r="AE82" s="22" t="s">
        <v>584</v>
      </c>
      <c r="AF82" s="22">
        <v>350</v>
      </c>
      <c r="AG82" s="22" t="s">
        <v>288</v>
      </c>
      <c r="AH82" s="22">
        <v>150</v>
      </c>
      <c r="AJ82" s="23"/>
      <c r="AK82" s="23"/>
      <c r="AL82" s="23"/>
      <c r="AM82" s="23"/>
      <c r="AN82" s="23"/>
      <c r="AO82" s="23"/>
      <c r="AZ82" s="19"/>
      <c r="BA82" s="19"/>
      <c r="BB82" s="19"/>
    </row>
    <row r="83" customHeight="1" spans="1:54">
      <c r="A83" s="18" t="s">
        <v>467</v>
      </c>
      <c r="B83" s="18" t="s">
        <v>465</v>
      </c>
      <c r="D83" s="19"/>
      <c r="E83" s="19"/>
      <c r="G83" s="20" t="s">
        <v>362</v>
      </c>
      <c r="H83" s="20" t="s">
        <v>362</v>
      </c>
      <c r="J83" s="20"/>
      <c r="K83" s="20"/>
      <c r="L83" s="20"/>
      <c r="N83" s="22" t="s">
        <v>23</v>
      </c>
      <c r="O83" s="22">
        <v>4</v>
      </c>
      <c r="P83" s="22" t="s">
        <v>116</v>
      </c>
      <c r="Q83" s="22">
        <v>4</v>
      </c>
      <c r="R83" s="22"/>
      <c r="S83" s="22"/>
      <c r="T83" s="22"/>
      <c r="U83" s="22"/>
      <c r="V83" s="22"/>
      <c r="W83" s="22"/>
      <c r="X83" s="23"/>
      <c r="Y83" s="23"/>
      <c r="Z83" s="23"/>
      <c r="AA83" s="23"/>
      <c r="AC83" s="22" t="s">
        <v>295</v>
      </c>
      <c r="AD83" s="22">
        <v>-2000</v>
      </c>
      <c r="AE83" s="22" t="s">
        <v>584</v>
      </c>
      <c r="AF83" s="22">
        <v>250</v>
      </c>
      <c r="AG83" s="22" t="s">
        <v>288</v>
      </c>
      <c r="AH83" s="22">
        <v>250</v>
      </c>
      <c r="AJ83" s="23"/>
      <c r="AK83" s="23"/>
      <c r="AL83" s="23"/>
      <c r="AM83" s="23"/>
      <c r="AN83" s="23"/>
      <c r="AO83" s="23"/>
      <c r="AZ83" s="19"/>
      <c r="BA83" s="19"/>
      <c r="BB83" s="19"/>
    </row>
    <row r="84" customHeight="1" spans="1:54">
      <c r="A84" s="18" t="s">
        <v>468</v>
      </c>
      <c r="B84" s="18" t="s">
        <v>465</v>
      </c>
      <c r="D84" s="19"/>
      <c r="E84" s="19"/>
      <c r="G84" s="20" t="s">
        <v>459</v>
      </c>
      <c r="H84" s="20" t="s">
        <v>463</v>
      </c>
      <c r="J84" s="20"/>
      <c r="K84" s="20"/>
      <c r="L84" s="20"/>
      <c r="N84" s="22" t="s">
        <v>23</v>
      </c>
      <c r="O84" s="22">
        <v>8</v>
      </c>
      <c r="P84" s="22" t="s">
        <v>116</v>
      </c>
      <c r="Q84" s="22">
        <v>8</v>
      </c>
      <c r="R84" s="22" t="s">
        <v>83</v>
      </c>
      <c r="S84" s="22">
        <v>1</v>
      </c>
      <c r="T84" s="22"/>
      <c r="U84" s="22"/>
      <c r="V84" s="22"/>
      <c r="W84" s="22"/>
      <c r="X84" s="23"/>
      <c r="Y84" s="23"/>
      <c r="Z84" s="23"/>
      <c r="AA84" s="23"/>
      <c r="AC84" s="22" t="s">
        <v>295</v>
      </c>
      <c r="AD84" s="22">
        <v>-2000</v>
      </c>
      <c r="AE84" s="22" t="s">
        <v>584</v>
      </c>
      <c r="AF84" s="22">
        <v>150</v>
      </c>
      <c r="AG84" s="22" t="s">
        <v>288</v>
      </c>
      <c r="AH84" s="22">
        <v>350</v>
      </c>
      <c r="AJ84" s="23"/>
      <c r="AK84" s="23"/>
      <c r="AL84" s="23"/>
      <c r="AM84" s="23"/>
      <c r="AN84" s="23"/>
      <c r="AO84" s="23"/>
      <c r="AZ84" s="19"/>
      <c r="BA84" s="19"/>
      <c r="BB84" s="19"/>
    </row>
    <row r="85" customHeight="1" spans="1:54">
      <c r="A85" s="18" t="s">
        <v>469</v>
      </c>
      <c r="B85" s="18" t="s">
        <v>465</v>
      </c>
      <c r="D85" s="19"/>
      <c r="E85" s="19"/>
      <c r="G85" s="20" t="s">
        <v>464</v>
      </c>
      <c r="H85" s="20" t="s">
        <v>460</v>
      </c>
      <c r="J85" s="20" t="s">
        <v>592</v>
      </c>
      <c r="K85" s="20" t="s">
        <v>593</v>
      </c>
      <c r="L85" s="20"/>
      <c r="N85" s="22" t="s">
        <v>23</v>
      </c>
      <c r="O85" s="22">
        <v>8</v>
      </c>
      <c r="P85" s="22" t="s">
        <v>116</v>
      </c>
      <c r="Q85" s="22">
        <v>8</v>
      </c>
      <c r="R85" s="22" t="s">
        <v>118</v>
      </c>
      <c r="S85" s="22">
        <v>1</v>
      </c>
      <c r="T85" s="22" t="s">
        <v>89</v>
      </c>
      <c r="U85" s="22">
        <v>2</v>
      </c>
      <c r="V85" s="22" t="s">
        <v>83</v>
      </c>
      <c r="W85" s="22">
        <v>1</v>
      </c>
      <c r="X85" s="23"/>
      <c r="Y85" s="23"/>
      <c r="Z85" s="23"/>
      <c r="AA85" s="23"/>
      <c r="AC85" s="22" t="s">
        <v>295</v>
      </c>
      <c r="AD85" s="22">
        <v>-2000</v>
      </c>
      <c r="AE85" s="22" t="s">
        <v>584</v>
      </c>
      <c r="AF85" s="22">
        <v>-500</v>
      </c>
      <c r="AG85" s="22" t="s">
        <v>289</v>
      </c>
      <c r="AH85" s="22">
        <v>250</v>
      </c>
      <c r="AJ85" s="23"/>
      <c r="AK85" s="23"/>
      <c r="AL85" s="23"/>
      <c r="AM85" s="23"/>
      <c r="AN85" s="23"/>
      <c r="AO85" s="23"/>
      <c r="AZ85" s="19"/>
      <c r="BA85" s="19"/>
      <c r="BB85" s="19"/>
    </row>
    <row r="86" customHeight="1" spans="1:54">
      <c r="A86" s="21" t="s">
        <v>610</v>
      </c>
      <c r="B86" s="21" t="s">
        <v>470</v>
      </c>
      <c r="D86" s="19"/>
      <c r="E86" s="19"/>
      <c r="G86" s="20" t="s">
        <v>362</v>
      </c>
      <c r="H86" s="20" t="s">
        <v>362</v>
      </c>
      <c r="J86" s="20"/>
      <c r="K86" s="20"/>
      <c r="L86" s="20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3"/>
      <c r="Y86" s="23"/>
      <c r="Z86" s="23"/>
      <c r="AA86" s="23"/>
      <c r="AC86" s="22"/>
      <c r="AD86" s="22"/>
      <c r="AE86" s="22"/>
      <c r="AF86" s="22"/>
      <c r="AG86" s="22"/>
      <c r="AH86" s="22"/>
      <c r="AJ86" s="23"/>
      <c r="AK86" s="23"/>
      <c r="AL86" s="23"/>
      <c r="AM86" s="23"/>
      <c r="AN86" s="23"/>
      <c r="AO86" s="23"/>
      <c r="AZ86" s="19"/>
      <c r="BA86" s="19"/>
      <c r="BB86" s="19"/>
    </row>
    <row r="87" customHeight="1" spans="1:54">
      <c r="A87" s="21" t="s">
        <v>471</v>
      </c>
      <c r="B87" s="21" t="s">
        <v>470</v>
      </c>
      <c r="D87" s="19"/>
      <c r="E87" s="19"/>
      <c r="G87" s="20" t="s">
        <v>362</v>
      </c>
      <c r="H87" s="20" t="s">
        <v>362</v>
      </c>
      <c r="J87" s="20"/>
      <c r="K87" s="20"/>
      <c r="L87" s="20"/>
      <c r="N87" s="22" t="s">
        <v>25</v>
      </c>
      <c r="O87" s="22">
        <v>10</v>
      </c>
      <c r="P87" s="22" t="s">
        <v>81</v>
      </c>
      <c r="Q87" s="22">
        <v>10</v>
      </c>
      <c r="R87" s="22" t="s">
        <v>91</v>
      </c>
      <c r="S87" s="22">
        <v>5</v>
      </c>
      <c r="T87" s="22"/>
      <c r="U87" s="22"/>
      <c r="V87" s="22"/>
      <c r="W87" s="22"/>
      <c r="X87" s="23" t="s">
        <v>133</v>
      </c>
      <c r="Y87" s="23">
        <v>40</v>
      </c>
      <c r="Z87" s="23"/>
      <c r="AA87" s="23"/>
      <c r="AC87" s="22" t="s">
        <v>295</v>
      </c>
      <c r="AD87" s="22">
        <v>2000</v>
      </c>
      <c r="AE87" s="22" t="s">
        <v>289</v>
      </c>
      <c r="AF87" s="22">
        <v>450</v>
      </c>
      <c r="AG87" s="22"/>
      <c r="AH87" s="22"/>
      <c r="AJ87" s="23"/>
      <c r="AK87" s="23"/>
      <c r="AL87" s="23"/>
      <c r="AM87" s="23"/>
      <c r="AN87" s="23"/>
      <c r="AO87" s="23"/>
      <c r="AZ87" s="19"/>
      <c r="BA87" s="19"/>
      <c r="BB87" s="19"/>
    </row>
    <row r="88" customHeight="1" spans="1:54">
      <c r="A88" s="21" t="s">
        <v>472</v>
      </c>
      <c r="B88" s="21" t="s">
        <v>470</v>
      </c>
      <c r="D88" s="19"/>
      <c r="E88" s="19"/>
      <c r="G88" s="20" t="s">
        <v>362</v>
      </c>
      <c r="H88" s="20" t="s">
        <v>362</v>
      </c>
      <c r="J88" s="20"/>
      <c r="K88" s="20"/>
      <c r="L88" s="20"/>
      <c r="N88" s="22" t="s">
        <v>25</v>
      </c>
      <c r="O88" s="22">
        <v>20</v>
      </c>
      <c r="P88" s="22" t="s">
        <v>81</v>
      </c>
      <c r="Q88" s="22">
        <v>20</v>
      </c>
      <c r="R88" s="22" t="s">
        <v>91</v>
      </c>
      <c r="S88" s="22">
        <v>10</v>
      </c>
      <c r="T88" s="22"/>
      <c r="U88" s="22"/>
      <c r="V88" s="22"/>
      <c r="W88" s="22"/>
      <c r="X88" s="23" t="s">
        <v>133</v>
      </c>
      <c r="Y88" s="23">
        <v>80</v>
      </c>
      <c r="Z88" s="23"/>
      <c r="AA88" s="23"/>
      <c r="AC88" s="22" t="s">
        <v>295</v>
      </c>
      <c r="AD88" s="22">
        <v>2000</v>
      </c>
      <c r="AE88" s="22" t="s">
        <v>289</v>
      </c>
      <c r="AF88" s="22">
        <v>450</v>
      </c>
      <c r="AG88" s="22"/>
      <c r="AH88" s="22"/>
      <c r="AJ88" s="23"/>
      <c r="AK88" s="23"/>
      <c r="AL88" s="23"/>
      <c r="AM88" s="23"/>
      <c r="AN88" s="23"/>
      <c r="AO88" s="23"/>
      <c r="AZ88" s="19"/>
      <c r="BA88" s="19"/>
      <c r="BB88" s="19"/>
    </row>
    <row r="89" customHeight="1" spans="1:54">
      <c r="A89" s="21" t="s">
        <v>611</v>
      </c>
      <c r="B89" s="21" t="s">
        <v>473</v>
      </c>
      <c r="D89" s="19"/>
      <c r="E89" s="19"/>
      <c r="G89" s="20" t="s">
        <v>362</v>
      </c>
      <c r="H89" s="20" t="s">
        <v>362</v>
      </c>
      <c r="J89" s="20"/>
      <c r="K89" s="20"/>
      <c r="L89" s="20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3"/>
      <c r="Y89" s="23"/>
      <c r="Z89" s="23"/>
      <c r="AA89" s="23"/>
      <c r="AC89" s="22"/>
      <c r="AD89" s="22"/>
      <c r="AE89" s="22"/>
      <c r="AF89" s="22"/>
      <c r="AG89" s="22"/>
      <c r="AH89" s="22"/>
      <c r="AJ89" s="23"/>
      <c r="AK89" s="23"/>
      <c r="AL89" s="23"/>
      <c r="AM89" s="23"/>
      <c r="AN89" s="23"/>
      <c r="AO89" s="23"/>
      <c r="AZ89" s="19"/>
      <c r="BA89" s="19"/>
      <c r="BB89" s="19"/>
    </row>
    <row r="90" customHeight="1" spans="1:54">
      <c r="A90" s="21" t="s">
        <v>474</v>
      </c>
      <c r="B90" s="21" t="s">
        <v>473</v>
      </c>
      <c r="D90" s="19"/>
      <c r="E90" s="19"/>
      <c r="G90" s="20" t="s">
        <v>362</v>
      </c>
      <c r="H90" s="20" t="s">
        <v>362</v>
      </c>
      <c r="J90" s="20"/>
      <c r="K90" s="20"/>
      <c r="L90" s="20"/>
      <c r="N90" s="22" t="s">
        <v>25</v>
      </c>
      <c r="O90" s="22">
        <v>10</v>
      </c>
      <c r="P90" s="22" t="s">
        <v>81</v>
      </c>
      <c r="Q90" s="22">
        <v>5</v>
      </c>
      <c r="R90" s="22" t="s">
        <v>91</v>
      </c>
      <c r="S90" s="22">
        <v>5</v>
      </c>
      <c r="T90" s="22"/>
      <c r="U90" s="22"/>
      <c r="V90" s="22"/>
      <c r="W90" s="22"/>
      <c r="X90" s="23" t="s">
        <v>136</v>
      </c>
      <c r="Y90" s="23">
        <v>30</v>
      </c>
      <c r="Z90" s="23"/>
      <c r="AA90" s="23"/>
      <c r="AC90" s="22" t="s">
        <v>295</v>
      </c>
      <c r="AD90" s="22">
        <v>2000</v>
      </c>
      <c r="AE90" s="22" t="s">
        <v>289</v>
      </c>
      <c r="AF90" s="22">
        <v>450</v>
      </c>
      <c r="AG90" s="22"/>
      <c r="AH90" s="22"/>
      <c r="AJ90" s="23"/>
      <c r="AK90" s="23"/>
      <c r="AL90" s="23"/>
      <c r="AM90" s="23"/>
      <c r="AN90" s="23"/>
      <c r="AO90" s="23"/>
      <c r="AZ90" s="19"/>
      <c r="BA90" s="19"/>
      <c r="BB90" s="19"/>
    </row>
    <row r="91" customHeight="1" spans="1:54">
      <c r="A91" s="21" t="s">
        <v>464</v>
      </c>
      <c r="B91" s="21" t="s">
        <v>473</v>
      </c>
      <c r="D91" s="19"/>
      <c r="E91" s="19"/>
      <c r="G91" s="20" t="s">
        <v>362</v>
      </c>
      <c r="H91" s="20" t="s">
        <v>362</v>
      </c>
      <c r="J91" s="20"/>
      <c r="K91" s="20"/>
      <c r="L91" s="20"/>
      <c r="N91" s="22" t="s">
        <v>25</v>
      </c>
      <c r="O91" s="22">
        <v>10</v>
      </c>
      <c r="P91" s="22" t="s">
        <v>114</v>
      </c>
      <c r="Q91" s="22">
        <v>5</v>
      </c>
      <c r="R91" s="22" t="s">
        <v>91</v>
      </c>
      <c r="S91" s="22">
        <v>5</v>
      </c>
      <c r="T91" s="22" t="s">
        <v>596</v>
      </c>
      <c r="U91" s="22">
        <v>5</v>
      </c>
      <c r="V91" s="22"/>
      <c r="W91" s="22"/>
      <c r="X91" s="23" t="s">
        <v>137</v>
      </c>
      <c r="Y91" s="23">
        <v>50</v>
      </c>
      <c r="Z91" s="23"/>
      <c r="AA91" s="23"/>
      <c r="AC91" s="22" t="s">
        <v>584</v>
      </c>
      <c r="AD91" s="22">
        <v>1000</v>
      </c>
      <c r="AE91" s="22" t="s">
        <v>288</v>
      </c>
      <c r="AF91" s="22">
        <v>250</v>
      </c>
      <c r="AG91" s="22" t="s">
        <v>289</v>
      </c>
      <c r="AH91" s="22">
        <v>250</v>
      </c>
      <c r="AJ91" s="23"/>
      <c r="AK91" s="23"/>
      <c r="AL91" s="23"/>
      <c r="AM91" s="23"/>
      <c r="AN91" s="23"/>
      <c r="AO91" s="23"/>
      <c r="AZ91" s="19"/>
      <c r="BA91" s="19"/>
      <c r="BB91" s="19"/>
    </row>
    <row r="92" customHeight="1" spans="1:54">
      <c r="A92" s="21" t="s">
        <v>418</v>
      </c>
      <c r="B92" s="21" t="s">
        <v>475</v>
      </c>
      <c r="D92" s="19"/>
      <c r="E92" s="19"/>
      <c r="G92" s="20" t="s">
        <v>362</v>
      </c>
      <c r="H92" s="20" t="s">
        <v>362</v>
      </c>
      <c r="J92" s="20"/>
      <c r="K92" s="20"/>
      <c r="L92" s="20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3"/>
      <c r="Y92" s="23"/>
      <c r="Z92" s="23"/>
      <c r="AA92" s="23"/>
      <c r="AC92" s="22"/>
      <c r="AD92" s="22"/>
      <c r="AE92" s="22"/>
      <c r="AF92" s="22"/>
      <c r="AG92" s="22"/>
      <c r="AH92" s="22"/>
      <c r="AJ92" s="23"/>
      <c r="AK92" s="23"/>
      <c r="AL92" s="23"/>
      <c r="AM92" s="23"/>
      <c r="AN92" s="23"/>
      <c r="AO92" s="23"/>
      <c r="AZ92" s="19"/>
      <c r="BA92" s="19"/>
      <c r="BB92" s="19"/>
    </row>
    <row r="93" customHeight="1" spans="1:54">
      <c r="A93" s="21" t="s">
        <v>476</v>
      </c>
      <c r="B93" s="21" t="s">
        <v>475</v>
      </c>
      <c r="D93" s="19"/>
      <c r="E93" s="19"/>
      <c r="G93" s="20" t="s">
        <v>362</v>
      </c>
      <c r="H93" s="20" t="s">
        <v>362</v>
      </c>
      <c r="J93" s="20"/>
      <c r="K93" s="20"/>
      <c r="L93" s="20"/>
      <c r="N93" s="22" t="s">
        <v>89</v>
      </c>
      <c r="O93" s="22">
        <v>1</v>
      </c>
      <c r="P93" s="22" t="s">
        <v>118</v>
      </c>
      <c r="Q93" s="22">
        <v>1</v>
      </c>
      <c r="R93" s="22" t="s">
        <v>116</v>
      </c>
      <c r="S93" s="22">
        <v>2</v>
      </c>
      <c r="T93" s="22"/>
      <c r="U93" s="22"/>
      <c r="V93" s="22"/>
      <c r="W93" s="22"/>
      <c r="X93" s="23"/>
      <c r="Y93" s="23"/>
      <c r="Z93" s="23"/>
      <c r="AA93" s="23"/>
      <c r="AC93" s="22" t="s">
        <v>295</v>
      </c>
      <c r="AD93" s="22">
        <v>-500</v>
      </c>
      <c r="AE93" s="22"/>
      <c r="AF93" s="22"/>
      <c r="AG93" s="22" t="s">
        <v>289</v>
      </c>
      <c r="AH93" s="22">
        <v>50</v>
      </c>
      <c r="AJ93" s="23"/>
      <c r="AK93" s="23"/>
      <c r="AL93" s="23"/>
      <c r="AM93" s="23"/>
      <c r="AN93" s="23"/>
      <c r="AO93" s="23"/>
      <c r="AZ93" s="19"/>
      <c r="BA93" s="19"/>
      <c r="BB93" s="19"/>
    </row>
    <row r="94" customHeight="1" spans="1:54">
      <c r="A94" s="21" t="s">
        <v>477</v>
      </c>
      <c r="B94" s="21" t="s">
        <v>475</v>
      </c>
      <c r="D94" s="19"/>
      <c r="E94" s="19"/>
      <c r="G94" s="20" t="s">
        <v>362</v>
      </c>
      <c r="H94" s="20" t="s">
        <v>362</v>
      </c>
      <c r="J94" s="20"/>
      <c r="K94" s="20"/>
      <c r="L94" s="20"/>
      <c r="N94" s="22" t="s">
        <v>89</v>
      </c>
      <c r="O94" s="22">
        <v>2</v>
      </c>
      <c r="P94" s="22" t="s">
        <v>118</v>
      </c>
      <c r="Q94" s="22">
        <v>2</v>
      </c>
      <c r="R94" s="22" t="s">
        <v>116</v>
      </c>
      <c r="S94" s="22">
        <v>3</v>
      </c>
      <c r="T94" s="22"/>
      <c r="U94" s="22"/>
      <c r="V94" s="22"/>
      <c r="W94" s="22"/>
      <c r="X94" s="23"/>
      <c r="Y94" s="23"/>
      <c r="Z94" s="23"/>
      <c r="AA94" s="23"/>
      <c r="AC94" s="22" t="s">
        <v>295</v>
      </c>
      <c r="AD94" s="22">
        <v>-1000</v>
      </c>
      <c r="AE94" s="22"/>
      <c r="AF94" s="22"/>
      <c r="AG94" s="22" t="s">
        <v>289</v>
      </c>
      <c r="AH94" s="22">
        <v>100</v>
      </c>
      <c r="AJ94" s="23"/>
      <c r="AK94" s="23"/>
      <c r="AL94" s="23"/>
      <c r="AM94" s="23"/>
      <c r="AN94" s="23"/>
      <c r="AO94" s="23"/>
      <c r="AZ94" s="19"/>
      <c r="BA94" s="19"/>
      <c r="BB94" s="19"/>
    </row>
    <row r="95" customHeight="1" spans="1:54">
      <c r="A95" s="21" t="s">
        <v>478</v>
      </c>
      <c r="B95" s="21" t="s">
        <v>475</v>
      </c>
      <c r="D95" s="19"/>
      <c r="E95" s="19"/>
      <c r="G95" s="20" t="s">
        <v>362</v>
      </c>
      <c r="H95" s="20" t="s">
        <v>362</v>
      </c>
      <c r="J95" s="20"/>
      <c r="K95" s="20"/>
      <c r="L95" s="20"/>
      <c r="N95" s="22" t="s">
        <v>89</v>
      </c>
      <c r="O95" s="22">
        <v>3</v>
      </c>
      <c r="P95" s="22" t="s">
        <v>118</v>
      </c>
      <c r="Q95" s="22">
        <v>3</v>
      </c>
      <c r="R95" s="22" t="s">
        <v>116</v>
      </c>
      <c r="S95" s="22">
        <v>4</v>
      </c>
      <c r="T95" s="22"/>
      <c r="U95" s="22"/>
      <c r="V95" s="22"/>
      <c r="W95" s="22"/>
      <c r="X95" s="23"/>
      <c r="Y95" s="23"/>
      <c r="Z95" s="23"/>
      <c r="AA95" s="23"/>
      <c r="AC95" s="22" t="s">
        <v>295</v>
      </c>
      <c r="AD95" s="22">
        <v>-1500</v>
      </c>
      <c r="AE95" s="22"/>
      <c r="AF95" s="22"/>
      <c r="AG95" s="22" t="s">
        <v>289</v>
      </c>
      <c r="AH95" s="22">
        <v>150</v>
      </c>
      <c r="AJ95" s="23"/>
      <c r="AK95" s="23"/>
      <c r="AL95" s="23"/>
      <c r="AM95" s="23"/>
      <c r="AN95" s="23"/>
      <c r="AO95" s="23"/>
      <c r="AZ95" s="19"/>
      <c r="BA95" s="19"/>
      <c r="BB95" s="19"/>
    </row>
    <row r="96" customHeight="1" spans="1:54">
      <c r="A96" s="21" t="s">
        <v>479</v>
      </c>
      <c r="B96" s="21" t="s">
        <v>475</v>
      </c>
      <c r="D96" s="19"/>
      <c r="E96" s="19"/>
      <c r="G96" s="20" t="s">
        <v>472</v>
      </c>
      <c r="H96" s="20" t="s">
        <v>464</v>
      </c>
      <c r="J96" s="20"/>
      <c r="K96" s="20"/>
      <c r="L96" s="20"/>
      <c r="N96" s="22" t="s">
        <v>89</v>
      </c>
      <c r="O96" s="22">
        <v>3</v>
      </c>
      <c r="P96" s="22" t="s">
        <v>118</v>
      </c>
      <c r="Q96" s="22">
        <v>2</v>
      </c>
      <c r="R96" s="22" t="s">
        <v>116</v>
      </c>
      <c r="S96" s="22">
        <v>4</v>
      </c>
      <c r="T96" s="22" t="s">
        <v>23</v>
      </c>
      <c r="U96" s="22">
        <v>5</v>
      </c>
      <c r="V96" s="22" t="s">
        <v>116</v>
      </c>
      <c r="W96" s="22">
        <v>5</v>
      </c>
      <c r="X96" s="23"/>
      <c r="Y96" s="23"/>
      <c r="Z96" s="23"/>
      <c r="AA96" s="23"/>
      <c r="AC96" s="22" t="s">
        <v>295</v>
      </c>
      <c r="AD96" s="22">
        <v>-2000</v>
      </c>
      <c r="AE96" s="22" t="s">
        <v>584</v>
      </c>
      <c r="AF96" s="22">
        <v>-1000</v>
      </c>
      <c r="AG96" s="22" t="s">
        <v>289</v>
      </c>
      <c r="AH96" s="22">
        <v>250</v>
      </c>
      <c r="AJ96" s="23"/>
      <c r="AK96" s="23"/>
      <c r="AL96" s="23"/>
      <c r="AM96" s="23"/>
      <c r="AN96" s="23"/>
      <c r="AO96" s="23"/>
      <c r="AZ96" s="19"/>
      <c r="BA96" s="19"/>
      <c r="BB96" s="19"/>
    </row>
    <row r="97" customHeight="1" spans="1:54">
      <c r="A97" s="18" t="s">
        <v>481</v>
      </c>
      <c r="B97" s="18" t="s">
        <v>480</v>
      </c>
      <c r="D97" s="19"/>
      <c r="E97" s="19"/>
      <c r="G97" s="20" t="s">
        <v>362</v>
      </c>
      <c r="H97" s="20" t="s">
        <v>362</v>
      </c>
      <c r="J97" s="20"/>
      <c r="K97" s="20"/>
      <c r="L97" s="20"/>
      <c r="N97" s="22" t="s">
        <v>590</v>
      </c>
      <c r="O97" s="22">
        <v>10</v>
      </c>
      <c r="P97" s="22" t="s">
        <v>81</v>
      </c>
      <c r="Q97" s="22">
        <v>8</v>
      </c>
      <c r="R97" s="22" t="s">
        <v>121</v>
      </c>
      <c r="S97" s="22">
        <v>5</v>
      </c>
      <c r="T97" s="22"/>
      <c r="U97" s="22"/>
      <c r="V97" s="22"/>
      <c r="W97" s="22"/>
      <c r="X97" s="23" t="s">
        <v>125</v>
      </c>
      <c r="Y97" s="23">
        <v>40</v>
      </c>
      <c r="Z97" s="23"/>
      <c r="AA97" s="23"/>
      <c r="AC97" s="22" t="s">
        <v>295</v>
      </c>
      <c r="AD97" s="22">
        <v>3500</v>
      </c>
      <c r="AE97" s="22" t="s">
        <v>584</v>
      </c>
      <c r="AF97" s="22">
        <v>350</v>
      </c>
      <c r="AG97" s="22" t="s">
        <v>288</v>
      </c>
      <c r="AH97" s="22">
        <v>150</v>
      </c>
      <c r="AJ97" s="23"/>
      <c r="AK97" s="23"/>
      <c r="AL97" s="23"/>
      <c r="AM97" s="23"/>
      <c r="AN97" s="23"/>
      <c r="AO97" s="23"/>
      <c r="AZ97" s="19"/>
      <c r="BA97" s="19"/>
      <c r="BB97" s="19"/>
    </row>
    <row r="98" customHeight="1" spans="1:54">
      <c r="A98" s="18" t="s">
        <v>482</v>
      </c>
      <c r="B98" s="18" t="s">
        <v>480</v>
      </c>
      <c r="D98" s="19"/>
      <c r="E98" s="19"/>
      <c r="G98" s="20" t="s">
        <v>362</v>
      </c>
      <c r="H98" s="20" t="s">
        <v>362</v>
      </c>
      <c r="J98" s="20"/>
      <c r="K98" s="20"/>
      <c r="L98" s="20"/>
      <c r="N98" s="22" t="s">
        <v>25</v>
      </c>
      <c r="O98" s="22">
        <v>10</v>
      </c>
      <c r="P98" s="22" t="s">
        <v>81</v>
      </c>
      <c r="Q98" s="22">
        <v>8</v>
      </c>
      <c r="R98" s="22" t="s">
        <v>121</v>
      </c>
      <c r="S98" s="22">
        <v>10</v>
      </c>
      <c r="T98" s="22" t="s">
        <v>84</v>
      </c>
      <c r="U98" s="22">
        <v>5</v>
      </c>
      <c r="V98" s="22" t="s">
        <v>116</v>
      </c>
      <c r="W98" s="22">
        <v>5</v>
      </c>
      <c r="X98" s="23" t="s">
        <v>125</v>
      </c>
      <c r="Y98" s="23">
        <v>70</v>
      </c>
      <c r="Z98" s="23"/>
      <c r="AA98" s="23"/>
      <c r="AC98" s="22" t="s">
        <v>295</v>
      </c>
      <c r="AD98" s="22">
        <v>3000</v>
      </c>
      <c r="AE98" s="22" t="s">
        <v>584</v>
      </c>
      <c r="AF98" s="22">
        <v>250</v>
      </c>
      <c r="AG98" s="22" t="s">
        <v>288</v>
      </c>
      <c r="AH98" s="22">
        <v>250</v>
      </c>
      <c r="AJ98" s="23"/>
      <c r="AK98" s="23"/>
      <c r="AL98" s="23"/>
      <c r="AM98" s="23"/>
      <c r="AN98" s="23"/>
      <c r="AO98" s="23"/>
      <c r="AZ98" s="19"/>
      <c r="BA98" s="19"/>
      <c r="BB98" s="19"/>
    </row>
    <row r="99" customHeight="1" spans="1:54">
      <c r="A99" s="18" t="s">
        <v>483</v>
      </c>
      <c r="B99" s="18" t="s">
        <v>480</v>
      </c>
      <c r="D99" s="19"/>
      <c r="E99" s="19"/>
      <c r="G99" s="20" t="s">
        <v>362</v>
      </c>
      <c r="H99" s="20" t="s">
        <v>362</v>
      </c>
      <c r="J99" s="20"/>
      <c r="K99" s="20"/>
      <c r="L99" s="20"/>
      <c r="N99" s="22" t="s">
        <v>25</v>
      </c>
      <c r="O99" s="22">
        <v>12</v>
      </c>
      <c r="P99" s="22" t="s">
        <v>81</v>
      </c>
      <c r="Q99" s="22">
        <v>8</v>
      </c>
      <c r="R99" s="22" t="s">
        <v>121</v>
      </c>
      <c r="S99" s="22">
        <v>12</v>
      </c>
      <c r="T99" s="22" t="s">
        <v>84</v>
      </c>
      <c r="U99" s="22">
        <v>7</v>
      </c>
      <c r="V99" s="22" t="s">
        <v>116</v>
      </c>
      <c r="W99" s="22">
        <v>7</v>
      </c>
      <c r="X99" s="23" t="s">
        <v>125</v>
      </c>
      <c r="Y99" s="23">
        <v>90</v>
      </c>
      <c r="Z99" s="23"/>
      <c r="AA99" s="23"/>
      <c r="AC99" s="22" t="s">
        <v>295</v>
      </c>
      <c r="AD99" s="22">
        <v>2500</v>
      </c>
      <c r="AE99" s="22" t="s">
        <v>584</v>
      </c>
      <c r="AF99" s="22">
        <v>150</v>
      </c>
      <c r="AG99" s="22" t="s">
        <v>288</v>
      </c>
      <c r="AH99" s="22">
        <v>350</v>
      </c>
      <c r="AJ99" s="23"/>
      <c r="AK99" s="23"/>
      <c r="AL99" s="23"/>
      <c r="AM99" s="23"/>
      <c r="AN99" s="23"/>
      <c r="AO99" s="23"/>
      <c r="AZ99" s="19"/>
      <c r="BA99" s="19"/>
      <c r="BB99" s="19"/>
    </row>
    <row r="100" customHeight="1" spans="1:54">
      <c r="A100" s="18" t="s">
        <v>484</v>
      </c>
      <c r="B100" s="18" t="s">
        <v>480</v>
      </c>
      <c r="D100" s="19"/>
      <c r="E100" s="19"/>
      <c r="G100" s="20" t="s">
        <v>362</v>
      </c>
      <c r="H100" s="20" t="s">
        <v>362</v>
      </c>
      <c r="J100" s="20"/>
      <c r="K100" s="20"/>
      <c r="L100" s="20"/>
      <c r="N100" s="22" t="s">
        <v>25</v>
      </c>
      <c r="O100" s="22">
        <v>15</v>
      </c>
      <c r="P100" s="22" t="s">
        <v>81</v>
      </c>
      <c r="Q100" s="22">
        <v>8</v>
      </c>
      <c r="R100" s="22" t="s">
        <v>121</v>
      </c>
      <c r="S100" s="22">
        <v>15</v>
      </c>
      <c r="T100" s="22" t="s">
        <v>84</v>
      </c>
      <c r="U100" s="22">
        <v>10</v>
      </c>
      <c r="V100" s="22" t="s">
        <v>116</v>
      </c>
      <c r="W100" s="22">
        <v>10</v>
      </c>
      <c r="X100" s="23" t="s">
        <v>125</v>
      </c>
      <c r="Y100" s="23">
        <v>120</v>
      </c>
      <c r="Z100" s="23"/>
      <c r="AA100" s="23"/>
      <c r="AC100" s="22" t="s">
        <v>584</v>
      </c>
      <c r="AD100" s="22">
        <v>1500</v>
      </c>
      <c r="AE100" s="22" t="s">
        <v>288</v>
      </c>
      <c r="AF100" s="22">
        <v>500</v>
      </c>
      <c r="AG100" s="22"/>
      <c r="AH100" s="22"/>
      <c r="AJ100" s="23"/>
      <c r="AK100" s="23"/>
      <c r="AL100" s="23"/>
      <c r="AM100" s="23"/>
      <c r="AN100" s="23"/>
      <c r="AO100" s="23"/>
      <c r="AZ100" s="19"/>
      <c r="BA100" s="19"/>
      <c r="BB100" s="19"/>
    </row>
    <row r="101" customHeight="1" spans="1:54">
      <c r="A101" s="18" t="s">
        <v>486</v>
      </c>
      <c r="B101" s="18" t="s">
        <v>485</v>
      </c>
      <c r="D101" s="19"/>
      <c r="E101" s="19"/>
      <c r="G101" s="20" t="s">
        <v>362</v>
      </c>
      <c r="H101" s="20" t="s">
        <v>362</v>
      </c>
      <c r="J101" s="20"/>
      <c r="K101" s="20"/>
      <c r="L101" s="20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3"/>
      <c r="Y101" s="23"/>
      <c r="Z101" s="23"/>
      <c r="AA101" s="23"/>
      <c r="AC101" s="22"/>
      <c r="AD101" s="22"/>
      <c r="AE101" s="22"/>
      <c r="AF101" s="22"/>
      <c r="AG101" s="22"/>
      <c r="AH101" s="22"/>
      <c r="AJ101" s="23"/>
      <c r="AK101" s="23"/>
      <c r="AL101" s="23"/>
      <c r="AM101" s="23"/>
      <c r="AN101" s="23"/>
      <c r="AO101" s="23"/>
      <c r="AZ101" s="19"/>
      <c r="BA101" s="19"/>
      <c r="BB101" s="19"/>
    </row>
    <row r="102" customHeight="1" spans="1:54">
      <c r="A102" s="18" t="s">
        <v>487</v>
      </c>
      <c r="B102" s="18" t="s">
        <v>485</v>
      </c>
      <c r="D102" s="19"/>
      <c r="E102" s="19"/>
      <c r="G102" s="20" t="s">
        <v>362</v>
      </c>
      <c r="H102" s="20" t="s">
        <v>362</v>
      </c>
      <c r="J102" s="20"/>
      <c r="K102" s="20"/>
      <c r="L102" s="20"/>
      <c r="N102" s="22" t="s">
        <v>590</v>
      </c>
      <c r="O102" s="22">
        <v>5</v>
      </c>
      <c r="P102" s="22" t="s">
        <v>121</v>
      </c>
      <c r="Q102" s="22">
        <v>5</v>
      </c>
      <c r="R102" s="22"/>
      <c r="S102" s="22"/>
      <c r="T102" s="22"/>
      <c r="U102" s="22"/>
      <c r="V102" s="22"/>
      <c r="W102" s="22"/>
      <c r="X102" s="23" t="s">
        <v>129</v>
      </c>
      <c r="Y102" s="23">
        <v>10</v>
      </c>
      <c r="Z102" s="23"/>
      <c r="AA102" s="23"/>
      <c r="AC102" s="22" t="s">
        <v>295</v>
      </c>
      <c r="AD102" s="22">
        <v>1000</v>
      </c>
      <c r="AE102" s="22" t="s">
        <v>584</v>
      </c>
      <c r="AF102" s="22">
        <v>250</v>
      </c>
      <c r="AG102" s="22" t="s">
        <v>288</v>
      </c>
      <c r="AH102" s="22">
        <v>150</v>
      </c>
      <c r="AJ102" s="23"/>
      <c r="AK102" s="23"/>
      <c r="AL102" s="23"/>
      <c r="AM102" s="23"/>
      <c r="AN102" s="23"/>
      <c r="AO102" s="23"/>
      <c r="AZ102" s="19"/>
      <c r="BA102" s="19"/>
      <c r="BB102" s="19"/>
    </row>
    <row r="103" customHeight="1" spans="1:54">
      <c r="A103" s="18" t="s">
        <v>488</v>
      </c>
      <c r="B103" s="18" t="s">
        <v>485</v>
      </c>
      <c r="D103" s="19"/>
      <c r="E103" s="19"/>
      <c r="G103" s="20" t="s">
        <v>362</v>
      </c>
      <c r="H103" s="20" t="s">
        <v>362</v>
      </c>
      <c r="J103" s="20"/>
      <c r="K103" s="20"/>
      <c r="L103" s="20"/>
      <c r="N103" s="22" t="s">
        <v>25</v>
      </c>
      <c r="O103" s="22">
        <v>10</v>
      </c>
      <c r="P103" s="22" t="s">
        <v>121</v>
      </c>
      <c r="Q103" s="22">
        <v>10</v>
      </c>
      <c r="R103" s="22"/>
      <c r="S103" s="22"/>
      <c r="T103" s="22"/>
      <c r="U103" s="22"/>
      <c r="V103" s="22"/>
      <c r="W103" s="22"/>
      <c r="X103" s="23" t="s">
        <v>129</v>
      </c>
      <c r="Y103" s="23">
        <v>20</v>
      </c>
      <c r="Z103" s="23"/>
      <c r="AA103" s="23"/>
      <c r="AC103" s="22" t="s">
        <v>295</v>
      </c>
      <c r="AD103" s="22">
        <v>1000</v>
      </c>
      <c r="AE103" s="22" t="s">
        <v>584</v>
      </c>
      <c r="AF103" s="22">
        <v>150</v>
      </c>
      <c r="AG103" s="22" t="s">
        <v>288</v>
      </c>
      <c r="AH103" s="22">
        <v>250</v>
      </c>
      <c r="AJ103" s="23"/>
      <c r="AK103" s="23"/>
      <c r="AL103" s="23"/>
      <c r="AM103" s="23"/>
      <c r="AN103" s="23"/>
      <c r="AO103" s="23"/>
      <c r="AZ103" s="19"/>
      <c r="BA103" s="19"/>
      <c r="BB103" s="19"/>
    </row>
    <row r="104" customHeight="1" spans="1:54">
      <c r="A104" s="18" t="s">
        <v>489</v>
      </c>
      <c r="B104" s="18" t="s">
        <v>485</v>
      </c>
      <c r="D104" s="19"/>
      <c r="E104" s="19"/>
      <c r="G104" s="20" t="s">
        <v>362</v>
      </c>
      <c r="H104" s="20" t="s">
        <v>362</v>
      </c>
      <c r="J104" s="20"/>
      <c r="K104" s="20"/>
      <c r="L104" s="20"/>
      <c r="N104" s="22" t="s">
        <v>25</v>
      </c>
      <c r="O104" s="22">
        <v>15</v>
      </c>
      <c r="P104" s="22" t="s">
        <v>121</v>
      </c>
      <c r="Q104" s="22">
        <v>15</v>
      </c>
      <c r="R104" s="22"/>
      <c r="S104" s="22"/>
      <c r="T104" s="22"/>
      <c r="U104" s="22"/>
      <c r="V104" s="22"/>
      <c r="W104" s="22"/>
      <c r="X104" s="23" t="s">
        <v>129</v>
      </c>
      <c r="Y104" s="23">
        <v>30</v>
      </c>
      <c r="Z104" s="23"/>
      <c r="AA104" s="23"/>
      <c r="AC104" s="22" t="s">
        <v>584</v>
      </c>
      <c r="AD104" s="22">
        <v>500</v>
      </c>
      <c r="AE104" s="22" t="s">
        <v>288</v>
      </c>
      <c r="AF104" s="22">
        <v>500</v>
      </c>
      <c r="AG104" s="22"/>
      <c r="AH104" s="22"/>
      <c r="AJ104" s="23"/>
      <c r="AK104" s="23"/>
      <c r="AL104" s="23"/>
      <c r="AM104" s="23"/>
      <c r="AN104" s="23"/>
      <c r="AO104" s="23"/>
      <c r="AZ104" s="19"/>
      <c r="BA104" s="19"/>
      <c r="BB104" s="19"/>
    </row>
    <row r="105" customHeight="1" spans="1:54">
      <c r="A105" s="18" t="s">
        <v>410</v>
      </c>
      <c r="B105" s="18" t="s">
        <v>490</v>
      </c>
      <c r="D105" s="19"/>
      <c r="E105" s="19"/>
      <c r="G105" s="20" t="s">
        <v>362</v>
      </c>
      <c r="H105" s="20" t="s">
        <v>362</v>
      </c>
      <c r="J105" s="20"/>
      <c r="K105" s="20"/>
      <c r="L105" s="20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3"/>
      <c r="Y105" s="23"/>
      <c r="Z105" s="23"/>
      <c r="AA105" s="23"/>
      <c r="AC105" s="22"/>
      <c r="AD105" s="22"/>
      <c r="AE105" s="22"/>
      <c r="AF105" s="22"/>
      <c r="AG105" s="22"/>
      <c r="AH105" s="22"/>
      <c r="AJ105" s="23"/>
      <c r="AK105" s="23"/>
      <c r="AL105" s="23"/>
      <c r="AM105" s="23"/>
      <c r="AN105" s="23"/>
      <c r="AO105" s="23"/>
      <c r="AZ105" s="19"/>
      <c r="BA105" s="19"/>
      <c r="BB105" s="19"/>
    </row>
    <row r="106" customHeight="1" spans="1:54">
      <c r="A106" s="18" t="s">
        <v>491</v>
      </c>
      <c r="B106" s="18" t="s">
        <v>490</v>
      </c>
      <c r="D106" s="19"/>
      <c r="E106" s="19"/>
      <c r="G106" s="20" t="s">
        <v>362</v>
      </c>
      <c r="H106" s="20" t="s">
        <v>362</v>
      </c>
      <c r="J106" s="20"/>
      <c r="K106" s="20"/>
      <c r="L106" s="20"/>
      <c r="N106" s="22" t="s">
        <v>23</v>
      </c>
      <c r="O106" s="22">
        <v>2</v>
      </c>
      <c r="P106" s="22" t="s">
        <v>116</v>
      </c>
      <c r="Q106" s="22">
        <v>2</v>
      </c>
      <c r="R106" s="22"/>
      <c r="S106" s="22"/>
      <c r="T106" s="22"/>
      <c r="U106" s="22"/>
      <c r="V106" s="22"/>
      <c r="W106" s="22"/>
      <c r="X106" s="23"/>
      <c r="Y106" s="23"/>
      <c r="Z106" s="23"/>
      <c r="AA106" s="23"/>
      <c r="AC106" s="22" t="s">
        <v>295</v>
      </c>
      <c r="AD106" s="22">
        <v>-1000</v>
      </c>
      <c r="AE106" s="22" t="s">
        <v>584</v>
      </c>
      <c r="AF106" s="22"/>
      <c r="AG106" s="22" t="s">
        <v>288</v>
      </c>
      <c r="AH106" s="22"/>
      <c r="AJ106" s="23"/>
      <c r="AK106" s="23"/>
      <c r="AL106" s="23"/>
      <c r="AM106" s="23"/>
      <c r="AN106" s="23"/>
      <c r="AO106" s="23"/>
      <c r="AZ106" s="19"/>
      <c r="BA106" s="19"/>
      <c r="BB106" s="19"/>
    </row>
    <row r="107" customHeight="1" spans="1:54">
      <c r="A107" s="18" t="s">
        <v>492</v>
      </c>
      <c r="B107" s="18" t="s">
        <v>490</v>
      </c>
      <c r="D107" s="19"/>
      <c r="E107" s="19"/>
      <c r="G107" s="20" t="s">
        <v>362</v>
      </c>
      <c r="H107" s="20" t="s">
        <v>362</v>
      </c>
      <c r="J107" s="20"/>
      <c r="K107" s="20"/>
      <c r="L107" s="20"/>
      <c r="N107" s="22" t="s">
        <v>23</v>
      </c>
      <c r="O107" s="22">
        <v>5</v>
      </c>
      <c r="P107" s="22" t="s">
        <v>116</v>
      </c>
      <c r="Q107" s="22">
        <v>5</v>
      </c>
      <c r="R107" s="22"/>
      <c r="S107" s="22"/>
      <c r="T107" s="22"/>
      <c r="U107" s="22"/>
      <c r="V107" s="22"/>
      <c r="W107" s="22"/>
      <c r="X107" s="23"/>
      <c r="Y107" s="23"/>
      <c r="Z107" s="23"/>
      <c r="AA107" s="23"/>
      <c r="AC107" s="22" t="s">
        <v>295</v>
      </c>
      <c r="AD107" s="22">
        <v>-2000</v>
      </c>
      <c r="AE107" s="22" t="s">
        <v>584</v>
      </c>
      <c r="AF107" s="22"/>
      <c r="AG107" s="22" t="s">
        <v>288</v>
      </c>
      <c r="AH107" s="22"/>
      <c r="AJ107" s="23"/>
      <c r="AK107" s="23"/>
      <c r="AL107" s="23"/>
      <c r="AM107" s="23"/>
      <c r="AN107" s="23"/>
      <c r="AO107" s="23"/>
      <c r="AZ107" s="19"/>
      <c r="BA107" s="19"/>
      <c r="BB107" s="19"/>
    </row>
    <row r="108" customHeight="1" spans="1:54">
      <c r="A108" s="18" t="s">
        <v>493</v>
      </c>
      <c r="B108" s="18" t="s">
        <v>490</v>
      </c>
      <c r="D108" s="19"/>
      <c r="E108" s="19"/>
      <c r="G108" s="20" t="s">
        <v>362</v>
      </c>
      <c r="H108" s="20" t="s">
        <v>362</v>
      </c>
      <c r="J108" s="20"/>
      <c r="K108" s="20"/>
      <c r="L108" s="20"/>
      <c r="N108" s="22" t="s">
        <v>23</v>
      </c>
      <c r="O108" s="22">
        <v>10</v>
      </c>
      <c r="P108" s="22" t="s">
        <v>116</v>
      </c>
      <c r="Q108" s="22">
        <v>10</v>
      </c>
      <c r="R108" s="22" t="s">
        <v>83</v>
      </c>
      <c r="S108" s="22">
        <v>1</v>
      </c>
      <c r="T108" s="22"/>
      <c r="U108" s="22"/>
      <c r="V108" s="22"/>
      <c r="W108" s="22"/>
      <c r="X108" s="23"/>
      <c r="Y108" s="23"/>
      <c r="Z108" s="23"/>
      <c r="AA108" s="23"/>
      <c r="AC108" s="22" t="s">
        <v>295</v>
      </c>
      <c r="AD108" s="22">
        <v>-3500</v>
      </c>
      <c r="AE108" s="22" t="s">
        <v>584</v>
      </c>
      <c r="AF108" s="22">
        <v>500</v>
      </c>
      <c r="AG108" s="22" t="s">
        <v>288</v>
      </c>
      <c r="AH108" s="22">
        <v>250</v>
      </c>
      <c r="AJ108" s="23"/>
      <c r="AK108" s="23"/>
      <c r="AL108" s="23"/>
      <c r="AM108" s="23"/>
      <c r="AN108" s="23"/>
      <c r="AO108" s="23"/>
      <c r="AZ108" s="19"/>
      <c r="BA108" s="19"/>
      <c r="BB108" s="19"/>
    </row>
    <row r="109" customHeight="1" spans="1:54">
      <c r="A109" s="18" t="s">
        <v>494</v>
      </c>
      <c r="B109" s="18" t="s">
        <v>490</v>
      </c>
      <c r="D109" s="19"/>
      <c r="E109" s="19"/>
      <c r="G109" s="20" t="s">
        <v>489</v>
      </c>
      <c r="H109" s="20" t="s">
        <v>484</v>
      </c>
      <c r="J109" s="20"/>
      <c r="K109" s="20"/>
      <c r="L109" s="20"/>
      <c r="N109" s="22" t="s">
        <v>23</v>
      </c>
      <c r="O109" s="22">
        <v>8</v>
      </c>
      <c r="P109" s="22" t="s">
        <v>116</v>
      </c>
      <c r="Q109" s="22">
        <v>8</v>
      </c>
      <c r="R109" s="22" t="s">
        <v>118</v>
      </c>
      <c r="S109" s="22">
        <v>1</v>
      </c>
      <c r="T109" s="22" t="s">
        <v>89</v>
      </c>
      <c r="U109" s="22">
        <v>1</v>
      </c>
      <c r="V109" s="22" t="s">
        <v>83</v>
      </c>
      <c r="W109" s="22">
        <v>1</v>
      </c>
      <c r="X109" s="23"/>
      <c r="Y109" s="23"/>
      <c r="Z109" s="23"/>
      <c r="AA109" s="23"/>
      <c r="AC109" s="22" t="s">
        <v>584</v>
      </c>
      <c r="AD109" s="22">
        <v>-2000</v>
      </c>
      <c r="AE109" s="22" t="s">
        <v>288</v>
      </c>
      <c r="AF109" s="22">
        <v>250</v>
      </c>
      <c r="AG109" s="22" t="s">
        <v>289</v>
      </c>
      <c r="AH109" s="22">
        <v>250</v>
      </c>
      <c r="AJ109" s="23"/>
      <c r="AK109" s="23"/>
      <c r="AL109" s="23"/>
      <c r="AM109" s="23"/>
      <c r="AN109" s="23"/>
      <c r="AO109" s="23"/>
      <c r="AZ109" s="19"/>
      <c r="BA109" s="19"/>
      <c r="BB109" s="19"/>
    </row>
    <row r="110" customHeight="1" spans="1:54">
      <c r="A110" s="21" t="s">
        <v>496</v>
      </c>
      <c r="B110" s="21" t="s">
        <v>495</v>
      </c>
      <c r="D110" s="19"/>
      <c r="E110" s="19"/>
      <c r="G110" s="20" t="s">
        <v>362</v>
      </c>
      <c r="H110" s="20" t="s">
        <v>362</v>
      </c>
      <c r="J110" s="20" t="s">
        <v>575</v>
      </c>
      <c r="K110" s="20" t="s">
        <v>576</v>
      </c>
      <c r="L110" s="20" t="s">
        <v>577</v>
      </c>
      <c r="N110" s="22" t="s">
        <v>138</v>
      </c>
      <c r="O110" s="22">
        <v>3</v>
      </c>
      <c r="P110" s="22" t="s">
        <v>119</v>
      </c>
      <c r="Q110" s="22">
        <v>6</v>
      </c>
      <c r="R110" s="22"/>
      <c r="S110" s="22"/>
      <c r="T110" s="22"/>
      <c r="U110" s="22"/>
      <c r="V110" s="22"/>
      <c r="W110" s="22"/>
      <c r="X110" s="23"/>
      <c r="Y110" s="23"/>
      <c r="Z110" s="23"/>
      <c r="AA110" s="23"/>
      <c r="AC110" s="22" t="s">
        <v>578</v>
      </c>
      <c r="AD110" s="22">
        <v>90</v>
      </c>
      <c r="AE110" s="22" t="s">
        <v>283</v>
      </c>
      <c r="AF110" s="22">
        <v>10</v>
      </c>
      <c r="AG110" s="22"/>
      <c r="AH110" s="22"/>
      <c r="AJ110" s="23" t="s">
        <v>579</v>
      </c>
      <c r="AK110" s="23">
        <v>3</v>
      </c>
      <c r="AL110" s="23" t="s">
        <v>580</v>
      </c>
      <c r="AM110" s="23">
        <v>2</v>
      </c>
      <c r="AN110" s="23"/>
      <c r="AO110" s="23"/>
      <c r="AZ110" s="19"/>
      <c r="BA110" s="19"/>
      <c r="BB110" s="19"/>
    </row>
    <row r="111" customHeight="1" spans="1:54">
      <c r="A111" s="21" t="s">
        <v>497</v>
      </c>
      <c r="B111" s="21" t="s">
        <v>495</v>
      </c>
      <c r="D111" s="19"/>
      <c r="E111" s="19"/>
      <c r="G111" s="20" t="s">
        <v>362</v>
      </c>
      <c r="H111" s="20" t="s">
        <v>362</v>
      </c>
      <c r="J111" s="20" t="s">
        <v>581</v>
      </c>
      <c r="K111" s="20" t="s">
        <v>576</v>
      </c>
      <c r="L111" s="20"/>
      <c r="N111" s="22" t="s">
        <v>138</v>
      </c>
      <c r="O111" s="22">
        <v>3</v>
      </c>
      <c r="P111" s="22" t="s">
        <v>119</v>
      </c>
      <c r="Q111" s="22">
        <v>6</v>
      </c>
      <c r="R111" s="22"/>
      <c r="S111" s="22"/>
      <c r="T111" s="22"/>
      <c r="U111" s="22"/>
      <c r="V111" s="22"/>
      <c r="W111" s="22"/>
      <c r="X111" s="23"/>
      <c r="Y111" s="23"/>
      <c r="Z111" s="23"/>
      <c r="AA111" s="23"/>
      <c r="AC111" s="22" t="s">
        <v>287</v>
      </c>
      <c r="AD111" s="22">
        <v>100</v>
      </c>
      <c r="AE111" s="22"/>
      <c r="AF111" s="22"/>
      <c r="AG111" s="22"/>
      <c r="AH111" s="22"/>
      <c r="AJ111" s="23"/>
      <c r="AK111" s="23"/>
      <c r="AL111" s="23"/>
      <c r="AM111" s="23"/>
      <c r="AN111" s="23"/>
      <c r="AO111" s="23"/>
      <c r="AZ111" s="19"/>
      <c r="BA111" s="19"/>
      <c r="BB111" s="19"/>
    </row>
    <row r="112" customHeight="1" spans="1:54">
      <c r="A112" s="21" t="s">
        <v>498</v>
      </c>
      <c r="B112" s="21" t="s">
        <v>495</v>
      </c>
      <c r="D112" s="19"/>
      <c r="E112" s="19"/>
      <c r="G112" s="20" t="s">
        <v>362</v>
      </c>
      <c r="H112" s="20" t="s">
        <v>362</v>
      </c>
      <c r="J112" s="20"/>
      <c r="K112" s="20" t="s">
        <v>576</v>
      </c>
      <c r="L112" s="20" t="s">
        <v>577</v>
      </c>
      <c r="N112" s="22" t="s">
        <v>138</v>
      </c>
      <c r="O112" s="22">
        <v>6</v>
      </c>
      <c r="P112" s="22" t="s">
        <v>119</v>
      </c>
      <c r="Q112" s="22">
        <v>6</v>
      </c>
      <c r="R112" s="22"/>
      <c r="S112" s="22"/>
      <c r="T112" s="22"/>
      <c r="U112" s="22"/>
      <c r="V112" s="22"/>
      <c r="W112" s="22"/>
      <c r="X112" s="23"/>
      <c r="Y112" s="23"/>
      <c r="Z112" s="23"/>
      <c r="AA112" s="23"/>
      <c r="AC112" s="22" t="s">
        <v>582</v>
      </c>
      <c r="AD112" s="22">
        <v>90</v>
      </c>
      <c r="AE112" s="22" t="s">
        <v>284</v>
      </c>
      <c r="AF112" s="22">
        <v>8</v>
      </c>
      <c r="AG112" s="22" t="s">
        <v>283</v>
      </c>
      <c r="AH112" s="22">
        <v>2</v>
      </c>
      <c r="AJ112" s="23" t="s">
        <v>583</v>
      </c>
      <c r="AK112" s="23">
        <v>4</v>
      </c>
      <c r="AL112" s="23" t="s">
        <v>580</v>
      </c>
      <c r="AM112" s="23">
        <v>1</v>
      </c>
      <c r="AN112" s="23"/>
      <c r="AO112" s="23"/>
      <c r="AZ112" s="19"/>
      <c r="BA112" s="19"/>
      <c r="BB112" s="19"/>
    </row>
    <row r="113" customHeight="1" spans="1:54">
      <c r="A113" s="21" t="s">
        <v>499</v>
      </c>
      <c r="B113" s="21" t="s">
        <v>495</v>
      </c>
      <c r="D113" s="19"/>
      <c r="E113" s="19"/>
      <c r="G113" s="20" t="s">
        <v>362</v>
      </c>
      <c r="H113" s="20" t="s">
        <v>362</v>
      </c>
      <c r="J113" s="20" t="s">
        <v>575</v>
      </c>
      <c r="K113" s="20" t="s">
        <v>576</v>
      </c>
      <c r="L113" s="20" t="s">
        <v>577</v>
      </c>
      <c r="N113" s="22" t="s">
        <v>138</v>
      </c>
      <c r="O113" s="22">
        <v>7</v>
      </c>
      <c r="P113" s="22" t="s">
        <v>119</v>
      </c>
      <c r="Q113" s="22">
        <v>6</v>
      </c>
      <c r="R113" s="22"/>
      <c r="S113" s="22"/>
      <c r="T113" s="22"/>
      <c r="U113" s="22"/>
      <c r="V113" s="22"/>
      <c r="W113" s="22"/>
      <c r="X113" s="23"/>
      <c r="Y113" s="23"/>
      <c r="Z113" s="23"/>
      <c r="AA113" s="23"/>
      <c r="AC113" s="22" t="s">
        <v>582</v>
      </c>
      <c r="AD113" s="22">
        <v>90</v>
      </c>
      <c r="AE113" s="22" t="s">
        <v>284</v>
      </c>
      <c r="AF113" s="22">
        <v>10</v>
      </c>
      <c r="AG113" s="22"/>
      <c r="AH113" s="22"/>
      <c r="AJ113" s="23" t="s">
        <v>583</v>
      </c>
      <c r="AK113" s="23">
        <v>5</v>
      </c>
      <c r="AL113" s="23"/>
      <c r="AM113" s="23"/>
      <c r="AN113" s="23"/>
      <c r="AO113" s="23"/>
      <c r="AZ113" s="19"/>
      <c r="BA113" s="19"/>
      <c r="BB113" s="19"/>
    </row>
    <row r="114" customHeight="1" spans="1:54">
      <c r="A114" s="21" t="s">
        <v>500</v>
      </c>
      <c r="B114" s="21" t="s">
        <v>495</v>
      </c>
      <c r="D114" s="19"/>
      <c r="E114" s="19"/>
      <c r="G114" s="20" t="s">
        <v>362</v>
      </c>
      <c r="H114" s="20" t="s">
        <v>362</v>
      </c>
      <c r="J114" s="20"/>
      <c r="K114" s="20" t="s">
        <v>576</v>
      </c>
      <c r="L114" s="20" t="s">
        <v>577</v>
      </c>
      <c r="N114" s="22" t="s">
        <v>138</v>
      </c>
      <c r="O114" s="22">
        <v>3</v>
      </c>
      <c r="P114" s="22" t="s">
        <v>119</v>
      </c>
      <c r="Q114" s="22">
        <v>6</v>
      </c>
      <c r="R114" s="22"/>
      <c r="S114" s="22"/>
      <c r="T114" s="22"/>
      <c r="U114" s="22"/>
      <c r="V114" s="22"/>
      <c r="W114" s="22"/>
      <c r="X114" s="23"/>
      <c r="Y114" s="23"/>
      <c r="Z114" s="23"/>
      <c r="AA114" s="23"/>
      <c r="AC114" s="22" t="s">
        <v>285</v>
      </c>
      <c r="AD114" s="22">
        <v>100</v>
      </c>
      <c r="AE114" s="22"/>
      <c r="AF114" s="22"/>
      <c r="AG114" s="22"/>
      <c r="AH114" s="22"/>
      <c r="AJ114" s="23"/>
      <c r="AK114" s="23"/>
      <c r="AL114" s="23"/>
      <c r="AM114" s="23"/>
      <c r="AN114" s="23"/>
      <c r="AO114" s="23"/>
      <c r="AZ114" s="19"/>
      <c r="BA114" s="19"/>
      <c r="BB114" s="19"/>
    </row>
    <row r="115" customHeight="1" spans="1:54">
      <c r="A115" s="21" t="s">
        <v>501</v>
      </c>
      <c r="B115" s="21" t="s">
        <v>495</v>
      </c>
      <c r="D115" s="19"/>
      <c r="E115" s="19"/>
      <c r="G115" s="20" t="s">
        <v>362</v>
      </c>
      <c r="H115" s="20" t="s">
        <v>362</v>
      </c>
      <c r="J115" s="20"/>
      <c r="K115" s="20" t="s">
        <v>576</v>
      </c>
      <c r="L115" s="20" t="s">
        <v>577</v>
      </c>
      <c r="N115" s="22" t="s">
        <v>138</v>
      </c>
      <c r="O115" s="22">
        <v>3</v>
      </c>
      <c r="P115" s="22" t="s">
        <v>119</v>
      </c>
      <c r="Q115" s="22">
        <v>6</v>
      </c>
      <c r="R115" s="22"/>
      <c r="S115" s="22"/>
      <c r="T115" s="22"/>
      <c r="U115" s="22"/>
      <c r="V115" s="22"/>
      <c r="W115" s="22"/>
      <c r="X115" s="23"/>
      <c r="Y115" s="23"/>
      <c r="Z115" s="23"/>
      <c r="AA115" s="23"/>
      <c r="AC115" s="22" t="s">
        <v>295</v>
      </c>
      <c r="AD115" s="22">
        <v>60</v>
      </c>
      <c r="AE115" s="22" t="s">
        <v>584</v>
      </c>
      <c r="AF115" s="22">
        <v>40</v>
      </c>
      <c r="AG115" s="22"/>
      <c r="AH115" s="22"/>
      <c r="AJ115" s="23" t="s">
        <v>585</v>
      </c>
      <c r="AK115" s="23">
        <v>3</v>
      </c>
      <c r="AL115" s="23" t="s">
        <v>586</v>
      </c>
      <c r="AM115" s="23">
        <v>2</v>
      </c>
      <c r="AN115" s="23"/>
      <c r="AO115" s="23"/>
      <c r="AZ115" s="19"/>
      <c r="BA115" s="19"/>
      <c r="BB115" s="19"/>
    </row>
    <row r="116" customHeight="1" spans="1:54">
      <c r="A116" s="21" t="s">
        <v>502</v>
      </c>
      <c r="B116" s="21" t="s">
        <v>495</v>
      </c>
      <c r="D116" s="19"/>
      <c r="E116" s="19"/>
      <c r="G116" s="20" t="s">
        <v>362</v>
      </c>
      <c r="H116" s="20" t="s">
        <v>362</v>
      </c>
      <c r="J116" s="20"/>
      <c r="K116" s="20" t="s">
        <v>576</v>
      </c>
      <c r="L116" s="20" t="s">
        <v>577</v>
      </c>
      <c r="N116" s="22" t="s">
        <v>138</v>
      </c>
      <c r="O116" s="22">
        <v>3</v>
      </c>
      <c r="P116" s="22" t="s">
        <v>119</v>
      </c>
      <c r="Q116" s="22">
        <v>6</v>
      </c>
      <c r="R116" s="22"/>
      <c r="S116" s="22"/>
      <c r="T116" s="22"/>
      <c r="U116" s="22"/>
      <c r="V116" s="22"/>
      <c r="W116" s="22"/>
      <c r="X116" s="23"/>
      <c r="Y116" s="23"/>
      <c r="Z116" s="23"/>
      <c r="AA116" s="23"/>
      <c r="AC116" s="22" t="s">
        <v>288</v>
      </c>
      <c r="AD116" s="22">
        <v>60</v>
      </c>
      <c r="AE116" s="22" t="s">
        <v>289</v>
      </c>
      <c r="AF116" s="22">
        <v>40</v>
      </c>
      <c r="AG116" s="22"/>
      <c r="AH116" s="22"/>
      <c r="AJ116" s="23" t="s">
        <v>587</v>
      </c>
      <c r="AK116" s="23">
        <v>2</v>
      </c>
      <c r="AL116" s="23" t="s">
        <v>588</v>
      </c>
      <c r="AM116" s="23">
        <v>2</v>
      </c>
      <c r="AN116" s="23"/>
      <c r="AO116" s="23"/>
      <c r="AZ116" s="19"/>
      <c r="BA116" s="19"/>
      <c r="BB116" s="19"/>
    </row>
    <row r="117" customHeight="1" spans="1:54">
      <c r="A117" s="21" t="s">
        <v>503</v>
      </c>
      <c r="B117" s="21" t="s">
        <v>495</v>
      </c>
      <c r="D117" s="19"/>
      <c r="E117" s="19"/>
      <c r="G117" s="20" t="s">
        <v>362</v>
      </c>
      <c r="H117" s="20" t="s">
        <v>362</v>
      </c>
      <c r="J117" s="20"/>
      <c r="K117" s="20"/>
      <c r="L117" s="20" t="s">
        <v>577</v>
      </c>
      <c r="N117" s="22" t="s">
        <v>138</v>
      </c>
      <c r="O117" s="22">
        <v>3</v>
      </c>
      <c r="P117" s="22" t="s">
        <v>119</v>
      </c>
      <c r="Q117" s="22">
        <v>6</v>
      </c>
      <c r="R117" s="22"/>
      <c r="S117" s="22"/>
      <c r="T117" s="22"/>
      <c r="U117" s="22"/>
      <c r="V117" s="22"/>
      <c r="W117" s="22"/>
      <c r="X117" s="23"/>
      <c r="Y117" s="23"/>
      <c r="Z117" s="23"/>
      <c r="AA117" s="23"/>
      <c r="AC117" s="22"/>
      <c r="AD117" s="22"/>
      <c r="AE117" s="22"/>
      <c r="AF117" s="22"/>
      <c r="AG117" s="22"/>
      <c r="AH117" s="22"/>
      <c r="AJ117" s="23"/>
      <c r="AK117" s="23"/>
      <c r="AL117" s="23"/>
      <c r="AM117" s="23"/>
      <c r="AN117" s="23"/>
      <c r="AO117" s="23"/>
      <c r="AZ117" s="19"/>
      <c r="BA117" s="19"/>
      <c r="BB117" s="19"/>
    </row>
    <row r="118" customHeight="1" spans="1:54">
      <c r="A118" s="18" t="s">
        <v>505</v>
      </c>
      <c r="B118" s="18" t="s">
        <v>504</v>
      </c>
      <c r="D118" s="19"/>
      <c r="E118" s="19"/>
      <c r="G118" s="20" t="s">
        <v>362</v>
      </c>
      <c r="H118" s="20" t="s">
        <v>362</v>
      </c>
      <c r="J118" s="20"/>
      <c r="K118" s="20"/>
      <c r="L118" s="20"/>
      <c r="N118" s="22" t="s">
        <v>63</v>
      </c>
      <c r="O118" s="22">
        <v>80</v>
      </c>
      <c r="P118" s="22"/>
      <c r="Q118" s="22"/>
      <c r="R118" s="22"/>
      <c r="S118" s="22"/>
      <c r="T118" s="22"/>
      <c r="U118" s="22"/>
      <c r="V118" s="22"/>
      <c r="W118" s="22"/>
      <c r="X118" s="23" t="s">
        <v>612</v>
      </c>
      <c r="Y118" s="23">
        <v>140</v>
      </c>
      <c r="Z118" s="23"/>
      <c r="AA118" s="23"/>
      <c r="AC118" s="22" t="s">
        <v>295</v>
      </c>
      <c r="AD118" s="22">
        <v>4900</v>
      </c>
      <c r="AE118" s="22"/>
      <c r="AF118" s="22"/>
      <c r="AG118" s="22"/>
      <c r="AH118" s="22"/>
      <c r="AJ118" s="23"/>
      <c r="AK118" s="23"/>
      <c r="AL118" s="23"/>
      <c r="AM118" s="23"/>
      <c r="AN118" s="23"/>
      <c r="AO118" s="23"/>
      <c r="AZ118" s="19"/>
      <c r="BA118" s="19"/>
      <c r="BB118" s="19"/>
    </row>
    <row r="119" customHeight="1" spans="1:54">
      <c r="A119" s="18" t="s">
        <v>506</v>
      </c>
      <c r="B119" s="18" t="s">
        <v>504</v>
      </c>
      <c r="D119" s="19"/>
      <c r="E119" s="19"/>
      <c r="G119" s="20" t="s">
        <v>362</v>
      </c>
      <c r="H119" s="20" t="s">
        <v>362</v>
      </c>
      <c r="J119" s="20"/>
      <c r="K119" s="20"/>
      <c r="L119" s="20"/>
      <c r="N119" s="22" t="s">
        <v>63</v>
      </c>
      <c r="O119" s="22">
        <v>80</v>
      </c>
      <c r="P119" s="22" t="s">
        <v>68</v>
      </c>
      <c r="Q119" s="22">
        <v>20</v>
      </c>
      <c r="R119" s="22"/>
      <c r="S119" s="22"/>
      <c r="T119" s="22"/>
      <c r="U119" s="22"/>
      <c r="V119" s="22"/>
      <c r="W119" s="22"/>
      <c r="X119" s="23" t="s">
        <v>612</v>
      </c>
      <c r="Y119" s="23">
        <v>160</v>
      </c>
      <c r="Z119" s="23"/>
      <c r="AA119" s="23"/>
      <c r="AC119" s="22" t="s">
        <v>295</v>
      </c>
      <c r="AD119" s="22">
        <v>3000</v>
      </c>
      <c r="AE119" s="22" t="s">
        <v>584</v>
      </c>
      <c r="AF119" s="22">
        <v>700</v>
      </c>
      <c r="AG119" s="22" t="s">
        <v>288</v>
      </c>
      <c r="AH119" s="22">
        <v>200</v>
      </c>
      <c r="AJ119" s="23"/>
      <c r="AK119" s="23"/>
      <c r="AL119" s="23"/>
      <c r="AM119" s="23"/>
      <c r="AN119" s="23"/>
      <c r="AO119" s="23"/>
      <c r="AZ119" s="19"/>
      <c r="BA119" s="19"/>
      <c r="BB119" s="19"/>
    </row>
    <row r="120" customHeight="1" spans="1:54">
      <c r="A120" s="18" t="s">
        <v>507</v>
      </c>
      <c r="B120" s="18" t="s">
        <v>504</v>
      </c>
      <c r="D120" s="19"/>
      <c r="E120" s="19"/>
      <c r="G120" s="20" t="s">
        <v>362</v>
      </c>
      <c r="H120" s="20" t="s">
        <v>362</v>
      </c>
      <c r="J120" s="20"/>
      <c r="K120" s="20"/>
      <c r="L120" s="20"/>
      <c r="N120" s="22" t="s">
        <v>63</v>
      </c>
      <c r="O120" s="22">
        <v>100</v>
      </c>
      <c r="P120" s="22" t="s">
        <v>68</v>
      </c>
      <c r="Q120" s="22">
        <v>40</v>
      </c>
      <c r="R120" s="22"/>
      <c r="S120" s="22"/>
      <c r="T120" s="22"/>
      <c r="U120" s="22"/>
      <c r="V120" s="22"/>
      <c r="W120" s="22"/>
      <c r="X120" s="23" t="s">
        <v>612</v>
      </c>
      <c r="Y120" s="23">
        <v>200</v>
      </c>
      <c r="Z120" s="23"/>
      <c r="AA120" s="23"/>
      <c r="AC120" s="22" t="s">
        <v>295</v>
      </c>
      <c r="AD120" s="22">
        <v>2000</v>
      </c>
      <c r="AE120" s="22" t="s">
        <v>584</v>
      </c>
      <c r="AF120" s="22">
        <v>1000</v>
      </c>
      <c r="AG120" s="22" t="s">
        <v>288</v>
      </c>
      <c r="AH120" s="22">
        <v>300</v>
      </c>
      <c r="AJ120" s="23"/>
      <c r="AK120" s="23"/>
      <c r="AL120" s="23"/>
      <c r="AM120" s="23"/>
      <c r="AN120" s="23"/>
      <c r="AO120" s="23"/>
      <c r="AZ120" s="19"/>
      <c r="BA120" s="19"/>
      <c r="BB120" s="19"/>
    </row>
    <row r="121" customHeight="1" spans="1:54">
      <c r="A121" s="18" t="s">
        <v>509</v>
      </c>
      <c r="B121" s="18" t="s">
        <v>508</v>
      </c>
      <c r="D121" s="19"/>
      <c r="E121" s="19"/>
      <c r="G121" s="20" t="s">
        <v>362</v>
      </c>
      <c r="H121" s="20" t="s">
        <v>362</v>
      </c>
      <c r="J121" s="20"/>
      <c r="K121" s="20"/>
      <c r="L121" s="20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3"/>
      <c r="Y121" s="23"/>
      <c r="Z121" s="23"/>
      <c r="AA121" s="23"/>
      <c r="AC121" s="22"/>
      <c r="AD121" s="22"/>
      <c r="AE121" s="22"/>
      <c r="AF121" s="22"/>
      <c r="AG121" s="22"/>
      <c r="AH121" s="22"/>
      <c r="AJ121" s="23"/>
      <c r="AK121" s="23"/>
      <c r="AL121" s="23"/>
      <c r="AM121" s="23"/>
      <c r="AN121" s="23"/>
      <c r="AO121" s="23"/>
      <c r="AZ121" s="19"/>
      <c r="BA121" s="19"/>
      <c r="BB121" s="19"/>
    </row>
    <row r="122" customHeight="1" spans="1:54">
      <c r="A122" s="18" t="s">
        <v>510</v>
      </c>
      <c r="B122" s="18" t="s">
        <v>508</v>
      </c>
      <c r="D122" s="19"/>
      <c r="E122" s="19"/>
      <c r="G122" s="20" t="s">
        <v>362</v>
      </c>
      <c r="H122" s="20" t="s">
        <v>362</v>
      </c>
      <c r="J122" s="20"/>
      <c r="K122" s="20"/>
      <c r="L122" s="20"/>
      <c r="N122" s="22" t="s">
        <v>590</v>
      </c>
      <c r="O122" s="22">
        <v>3</v>
      </c>
      <c r="P122" s="22"/>
      <c r="Q122" s="22"/>
      <c r="R122" s="22"/>
      <c r="S122" s="22"/>
      <c r="T122" s="22"/>
      <c r="U122" s="22"/>
      <c r="V122" s="22"/>
      <c r="W122" s="22"/>
      <c r="X122" s="23"/>
      <c r="Y122" s="23"/>
      <c r="Z122" s="23"/>
      <c r="AA122" s="23"/>
      <c r="AC122" s="22" t="s">
        <v>295</v>
      </c>
      <c r="AD122" s="22">
        <v>-1000</v>
      </c>
      <c r="AE122" s="22" t="s">
        <v>584</v>
      </c>
      <c r="AF122" s="22">
        <v>200</v>
      </c>
      <c r="AG122" s="22" t="s">
        <v>288</v>
      </c>
      <c r="AH122" s="22">
        <v>100</v>
      </c>
      <c r="AJ122" s="23"/>
      <c r="AK122" s="23"/>
      <c r="AL122" s="23"/>
      <c r="AM122" s="23"/>
      <c r="AN122" s="23"/>
      <c r="AO122" s="23"/>
      <c r="AZ122" s="19"/>
      <c r="BA122" s="19"/>
      <c r="BB122" s="19"/>
    </row>
    <row r="123" customHeight="1" spans="1:54">
      <c r="A123" s="18" t="s">
        <v>511</v>
      </c>
      <c r="B123" s="18" t="s">
        <v>508</v>
      </c>
      <c r="D123" s="19"/>
      <c r="E123" s="19"/>
      <c r="G123" s="20" t="s">
        <v>362</v>
      </c>
      <c r="H123" s="20" t="s">
        <v>362</v>
      </c>
      <c r="J123" s="20"/>
      <c r="K123" s="20"/>
      <c r="L123" s="20"/>
      <c r="N123" s="22" t="s">
        <v>590</v>
      </c>
      <c r="O123" s="22">
        <v>5</v>
      </c>
      <c r="P123" s="22" t="s">
        <v>596</v>
      </c>
      <c r="Q123" s="22">
        <v>1</v>
      </c>
      <c r="R123" s="22" t="s">
        <v>23</v>
      </c>
      <c r="S123" s="22">
        <v>1</v>
      </c>
      <c r="T123" s="22"/>
      <c r="U123" s="22"/>
      <c r="V123" s="22"/>
      <c r="W123" s="22"/>
      <c r="X123" s="23"/>
      <c r="Y123" s="23"/>
      <c r="Z123" s="23"/>
      <c r="AA123" s="23"/>
      <c r="AC123" s="22" t="s">
        <v>295</v>
      </c>
      <c r="AD123" s="22">
        <v>-2000</v>
      </c>
      <c r="AE123" s="22" t="s">
        <v>584</v>
      </c>
      <c r="AF123" s="22">
        <v>400</v>
      </c>
      <c r="AG123" s="22" t="s">
        <v>288</v>
      </c>
      <c r="AH123" s="22">
        <v>200</v>
      </c>
      <c r="AJ123" s="23"/>
      <c r="AK123" s="23"/>
      <c r="AL123" s="23"/>
      <c r="AM123" s="23"/>
      <c r="AN123" s="23"/>
      <c r="AO123" s="23"/>
      <c r="AZ123" s="19"/>
      <c r="BA123" s="19"/>
      <c r="BB123" s="19"/>
    </row>
    <row r="124" customHeight="1" spans="1:54">
      <c r="A124" s="18" t="s">
        <v>513</v>
      </c>
      <c r="B124" s="18" t="s">
        <v>512</v>
      </c>
      <c r="D124" s="19"/>
      <c r="E124" s="19"/>
      <c r="G124" s="20" t="s">
        <v>362</v>
      </c>
      <c r="H124" s="20" t="s">
        <v>362</v>
      </c>
      <c r="J124" s="20"/>
      <c r="K124" s="20"/>
      <c r="L124" s="20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3"/>
      <c r="Y124" s="23"/>
      <c r="Z124" s="23"/>
      <c r="AA124" s="23"/>
      <c r="AC124" s="22"/>
      <c r="AD124" s="22"/>
      <c r="AE124" s="22"/>
      <c r="AF124" s="22"/>
      <c r="AG124" s="22"/>
      <c r="AH124" s="22"/>
      <c r="AJ124" s="23"/>
      <c r="AK124" s="23"/>
      <c r="AL124" s="23"/>
      <c r="AM124" s="23"/>
      <c r="AN124" s="23"/>
      <c r="AO124" s="23"/>
      <c r="AZ124" s="19"/>
      <c r="BA124" s="19"/>
      <c r="BB124" s="19"/>
    </row>
    <row r="125" customHeight="1" spans="1:54">
      <c r="A125" s="18" t="s">
        <v>514</v>
      </c>
      <c r="B125" s="18" t="s">
        <v>512</v>
      </c>
      <c r="D125" s="19"/>
      <c r="E125" s="19"/>
      <c r="G125" s="20" t="s">
        <v>507</v>
      </c>
      <c r="H125" s="20" t="s">
        <v>362</v>
      </c>
      <c r="J125" s="20"/>
      <c r="K125" s="20"/>
      <c r="L125" s="20"/>
      <c r="N125" s="22" t="s">
        <v>116</v>
      </c>
      <c r="O125" s="22">
        <v>3</v>
      </c>
      <c r="P125" s="22" t="s">
        <v>596</v>
      </c>
      <c r="Q125" s="22">
        <v>1</v>
      </c>
      <c r="R125" s="22" t="s">
        <v>23</v>
      </c>
      <c r="S125" s="22">
        <v>2</v>
      </c>
      <c r="T125" s="22"/>
      <c r="U125" s="22"/>
      <c r="V125" s="22"/>
      <c r="W125" s="22"/>
      <c r="X125" s="23"/>
      <c r="Y125" s="23"/>
      <c r="Z125" s="23"/>
      <c r="AA125" s="23"/>
      <c r="AC125" s="22" t="s">
        <v>584</v>
      </c>
      <c r="AD125" s="22">
        <v>-800</v>
      </c>
      <c r="AE125" s="22" t="s">
        <v>288</v>
      </c>
      <c r="AF125" s="22">
        <v>100</v>
      </c>
      <c r="AG125" s="22"/>
      <c r="AH125" s="22"/>
      <c r="AJ125" s="23"/>
      <c r="AK125" s="23"/>
      <c r="AL125" s="23"/>
      <c r="AM125" s="23"/>
      <c r="AN125" s="23"/>
      <c r="AO125" s="23"/>
      <c r="AZ125" s="19"/>
      <c r="BA125" s="19"/>
      <c r="BB125" s="19"/>
    </row>
    <row r="126" customHeight="1" spans="1:54">
      <c r="A126" s="18" t="s">
        <v>515</v>
      </c>
      <c r="B126" s="18" t="s">
        <v>512</v>
      </c>
      <c r="D126" s="19"/>
      <c r="E126" s="19"/>
      <c r="G126" s="20" t="s">
        <v>362</v>
      </c>
      <c r="H126" s="20" t="s">
        <v>362</v>
      </c>
      <c r="J126" s="20"/>
      <c r="K126" s="20"/>
      <c r="L126" s="20"/>
      <c r="N126" s="22" t="s">
        <v>118</v>
      </c>
      <c r="O126" s="22">
        <v>1</v>
      </c>
      <c r="P126" s="22" t="s">
        <v>89</v>
      </c>
      <c r="Q126" s="22">
        <v>2</v>
      </c>
      <c r="R126" s="22" t="s">
        <v>116</v>
      </c>
      <c r="S126" s="22">
        <v>1</v>
      </c>
      <c r="T126" s="22"/>
      <c r="U126" s="22"/>
      <c r="V126" s="22"/>
      <c r="W126" s="22"/>
      <c r="X126" s="23"/>
      <c r="Y126" s="23"/>
      <c r="Z126" s="23"/>
      <c r="AA126" s="23"/>
      <c r="AC126" s="22" t="s">
        <v>584</v>
      </c>
      <c r="AD126" s="22">
        <v>-1000</v>
      </c>
      <c r="AE126" s="22" t="s">
        <v>289</v>
      </c>
      <c r="AF126" s="22">
        <v>50</v>
      </c>
      <c r="AG126" s="22"/>
      <c r="AH126" s="22"/>
      <c r="AJ126" s="23"/>
      <c r="AK126" s="23"/>
      <c r="AL126" s="23"/>
      <c r="AM126" s="23"/>
      <c r="AN126" s="23"/>
      <c r="AO126" s="23"/>
      <c r="AZ126" s="19"/>
      <c r="BA126" s="19"/>
      <c r="BB126" s="19"/>
    </row>
    <row r="127" customHeight="1" spans="1:54">
      <c r="A127" s="18" t="s">
        <v>516</v>
      </c>
      <c r="B127" s="18" t="s">
        <v>512</v>
      </c>
      <c r="D127" s="19"/>
      <c r="E127" s="19"/>
      <c r="G127" s="20" t="s">
        <v>507</v>
      </c>
      <c r="H127" s="20" t="s">
        <v>511</v>
      </c>
      <c r="J127" s="20"/>
      <c r="K127" s="20"/>
      <c r="L127" s="20"/>
      <c r="N127" s="22" t="s">
        <v>118</v>
      </c>
      <c r="O127" s="22">
        <v>1</v>
      </c>
      <c r="P127" s="22" t="s">
        <v>89</v>
      </c>
      <c r="Q127" s="22">
        <v>1</v>
      </c>
      <c r="R127" s="22" t="s">
        <v>116</v>
      </c>
      <c r="S127" s="22">
        <v>2</v>
      </c>
      <c r="T127" s="22" t="s">
        <v>23</v>
      </c>
      <c r="U127" s="22">
        <v>2</v>
      </c>
      <c r="V127" s="22" t="s">
        <v>596</v>
      </c>
      <c r="W127" s="22">
        <v>1</v>
      </c>
      <c r="X127" s="23"/>
      <c r="Y127" s="23"/>
      <c r="Z127" s="23"/>
      <c r="AA127" s="23"/>
      <c r="AC127" s="22" t="s">
        <v>584</v>
      </c>
      <c r="AD127" s="22">
        <v>-1400</v>
      </c>
      <c r="AE127" s="22" t="s">
        <v>288</v>
      </c>
      <c r="AF127" s="22">
        <v>50</v>
      </c>
      <c r="AG127" s="22" t="s">
        <v>289</v>
      </c>
      <c r="AH127" s="22">
        <v>25</v>
      </c>
      <c r="AJ127" s="23"/>
      <c r="AK127" s="23"/>
      <c r="AL127" s="23"/>
      <c r="AM127" s="23"/>
      <c r="AN127" s="23"/>
      <c r="AO127" s="23"/>
      <c r="AZ127" s="19"/>
      <c r="BA127" s="19"/>
      <c r="BB127" s="19"/>
    </row>
    <row r="128" customHeight="1" spans="1:54">
      <c r="A128" s="21" t="s">
        <v>518</v>
      </c>
      <c r="B128" s="21" t="s">
        <v>517</v>
      </c>
      <c r="D128" s="19"/>
      <c r="E128" s="19"/>
      <c r="G128" s="20" t="s">
        <v>362</v>
      </c>
      <c r="H128" s="20" t="s">
        <v>362</v>
      </c>
      <c r="J128" s="20"/>
      <c r="K128" s="20"/>
      <c r="L128" s="20"/>
      <c r="N128" s="22" t="s">
        <v>63</v>
      </c>
      <c r="O128" s="22">
        <v>120</v>
      </c>
      <c r="P128" s="22"/>
      <c r="Q128" s="22"/>
      <c r="R128" s="22"/>
      <c r="S128" s="22"/>
      <c r="T128" s="22"/>
      <c r="U128" s="22"/>
      <c r="V128" s="22"/>
      <c r="W128" s="22"/>
      <c r="X128" s="23" t="s">
        <v>613</v>
      </c>
      <c r="Y128" s="23">
        <v>135</v>
      </c>
      <c r="Z128" s="23"/>
      <c r="AA128" s="23"/>
      <c r="AC128" s="22" t="s">
        <v>295</v>
      </c>
      <c r="AD128" s="22">
        <v>4900</v>
      </c>
      <c r="AE128" s="22"/>
      <c r="AF128" s="22"/>
      <c r="AG128" s="22"/>
      <c r="AH128" s="22"/>
      <c r="AJ128" s="23"/>
      <c r="AK128" s="23"/>
      <c r="AL128" s="23"/>
      <c r="AM128" s="23"/>
      <c r="AN128" s="23"/>
      <c r="AO128" s="23"/>
      <c r="AZ128" s="19"/>
      <c r="BA128" s="19"/>
      <c r="BB128" s="19"/>
    </row>
    <row r="129" customHeight="1" spans="1:54">
      <c r="A129" s="21" t="s">
        <v>519</v>
      </c>
      <c r="B129" s="21" t="s">
        <v>517</v>
      </c>
      <c r="D129" s="19"/>
      <c r="E129" s="19"/>
      <c r="G129" s="20" t="s">
        <v>362</v>
      </c>
      <c r="H129" s="20" t="s">
        <v>362</v>
      </c>
      <c r="J129" s="20"/>
      <c r="K129" s="20"/>
      <c r="L129" s="20"/>
      <c r="N129" s="22" t="s">
        <v>63</v>
      </c>
      <c r="O129" s="22">
        <v>120</v>
      </c>
      <c r="P129" s="22"/>
      <c r="Q129" s="22" t="s">
        <v>614</v>
      </c>
      <c r="R129" s="22"/>
      <c r="S129" s="22"/>
      <c r="T129" s="22"/>
      <c r="U129" s="22"/>
      <c r="V129" s="22"/>
      <c r="W129" s="22"/>
      <c r="X129" s="23" t="s">
        <v>613</v>
      </c>
      <c r="Y129" s="23">
        <v>145</v>
      </c>
      <c r="Z129" s="23"/>
      <c r="AA129" s="23"/>
      <c r="AC129" s="22" t="s">
        <v>295</v>
      </c>
      <c r="AD129" s="22">
        <v>3900</v>
      </c>
      <c r="AE129" s="22" t="s">
        <v>584</v>
      </c>
      <c r="AF129" s="22">
        <v>300</v>
      </c>
      <c r="AG129" s="22" t="s">
        <v>288</v>
      </c>
      <c r="AH129" s="22">
        <v>200</v>
      </c>
      <c r="AJ129" s="23"/>
      <c r="AK129" s="23"/>
      <c r="AL129" s="23"/>
      <c r="AM129" s="23"/>
      <c r="AN129" s="23"/>
      <c r="AO129" s="23"/>
      <c r="AZ129" s="19"/>
      <c r="BA129" s="19"/>
      <c r="BB129" s="19"/>
    </row>
    <row r="130" customHeight="1" spans="1:54">
      <c r="A130" s="21" t="s">
        <v>521</v>
      </c>
      <c r="B130" s="21" t="s">
        <v>520</v>
      </c>
      <c r="D130" s="19"/>
      <c r="E130" s="19"/>
      <c r="G130" s="20" t="s">
        <v>362</v>
      </c>
      <c r="H130" s="20" t="s">
        <v>362</v>
      </c>
      <c r="J130" s="20"/>
      <c r="K130" s="20"/>
      <c r="L130" s="20"/>
      <c r="N130" s="22" t="s">
        <v>590</v>
      </c>
      <c r="O130" s="22">
        <v>5</v>
      </c>
      <c r="P130" s="22"/>
      <c r="Q130" s="22"/>
      <c r="R130" s="22"/>
      <c r="S130" s="22"/>
      <c r="T130" s="22"/>
      <c r="U130" s="22"/>
      <c r="V130" s="22"/>
      <c r="W130" s="22"/>
      <c r="X130" s="23" t="s">
        <v>613</v>
      </c>
      <c r="Y130" s="23">
        <v>-5</v>
      </c>
      <c r="Z130" s="23"/>
      <c r="AA130" s="23"/>
      <c r="AC130" s="22"/>
      <c r="AD130" s="22"/>
      <c r="AE130" s="22"/>
      <c r="AF130" s="22"/>
      <c r="AG130" s="22"/>
      <c r="AH130" s="22"/>
      <c r="AJ130" s="23"/>
      <c r="AK130" s="23"/>
      <c r="AL130" s="23"/>
      <c r="AM130" s="23"/>
      <c r="AN130" s="23"/>
      <c r="AO130" s="23"/>
      <c r="AZ130" s="19"/>
      <c r="BA130" s="19"/>
      <c r="BB130" s="19"/>
    </row>
    <row r="131" customHeight="1" spans="1:54">
      <c r="A131" s="21" t="s">
        <v>522</v>
      </c>
      <c r="B131" s="21" t="s">
        <v>520</v>
      </c>
      <c r="D131" s="19"/>
      <c r="E131" s="19"/>
      <c r="G131" s="20" t="s">
        <v>362</v>
      </c>
      <c r="H131" s="20" t="s">
        <v>362</v>
      </c>
      <c r="J131" s="20"/>
      <c r="K131" s="20"/>
      <c r="L131" s="20"/>
      <c r="N131" s="22" t="s">
        <v>95</v>
      </c>
      <c r="O131" s="22">
        <v>5</v>
      </c>
      <c r="P131" s="22"/>
      <c r="Q131" s="22"/>
      <c r="R131" s="22"/>
      <c r="S131" s="22"/>
      <c r="T131" s="22"/>
      <c r="U131" s="22"/>
      <c r="V131" s="22"/>
      <c r="W131" s="22"/>
      <c r="X131" s="23"/>
      <c r="Y131" s="23"/>
      <c r="Z131" s="23"/>
      <c r="AA131" s="23"/>
      <c r="AC131" s="22" t="s">
        <v>295</v>
      </c>
      <c r="AD131" s="22">
        <v>-1500</v>
      </c>
      <c r="AE131" s="22" t="s">
        <v>584</v>
      </c>
      <c r="AF131" s="22">
        <v>50</v>
      </c>
      <c r="AG131" s="22" t="s">
        <v>288</v>
      </c>
      <c r="AH131" s="22">
        <v>150</v>
      </c>
      <c r="AJ131" s="23"/>
      <c r="AK131" s="23"/>
      <c r="AL131" s="23"/>
      <c r="AM131" s="23"/>
      <c r="AN131" s="23"/>
      <c r="AO131" s="23"/>
      <c r="AZ131" s="19"/>
      <c r="BA131" s="19"/>
      <c r="BB131" s="19"/>
    </row>
    <row r="132" customHeight="1" spans="1:54">
      <c r="A132" s="21" t="s">
        <v>524</v>
      </c>
      <c r="B132" s="21" t="s">
        <v>523</v>
      </c>
      <c r="D132" s="19"/>
      <c r="E132" s="19"/>
      <c r="G132" s="20" t="s">
        <v>362</v>
      </c>
      <c r="H132" s="20" t="s">
        <v>362</v>
      </c>
      <c r="J132" s="20"/>
      <c r="K132" s="20"/>
      <c r="L132" s="20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3"/>
      <c r="Y132" s="23"/>
      <c r="Z132" s="23"/>
      <c r="AA132" s="23"/>
      <c r="AC132" s="22"/>
      <c r="AD132" s="22"/>
      <c r="AE132" s="22"/>
      <c r="AF132" s="22"/>
      <c r="AG132" s="22"/>
      <c r="AH132" s="22"/>
      <c r="AJ132" s="23"/>
      <c r="AK132" s="23"/>
      <c r="AL132" s="23"/>
      <c r="AM132" s="23"/>
      <c r="AN132" s="23"/>
      <c r="AO132" s="23"/>
      <c r="AZ132" s="19"/>
      <c r="BA132" s="19"/>
      <c r="BB132" s="19"/>
    </row>
    <row r="133" customHeight="1" spans="1:54">
      <c r="A133" s="21" t="s">
        <v>525</v>
      </c>
      <c r="B133" s="21" t="s">
        <v>523</v>
      </c>
      <c r="D133" s="19"/>
      <c r="E133" s="19"/>
      <c r="G133" s="20" t="s">
        <v>362</v>
      </c>
      <c r="H133" s="20" t="s">
        <v>362</v>
      </c>
      <c r="J133" s="20"/>
      <c r="K133" s="20"/>
      <c r="L133" s="20"/>
      <c r="N133" s="22" t="s">
        <v>116</v>
      </c>
      <c r="O133" s="22">
        <v>3</v>
      </c>
      <c r="P133" s="22" t="s">
        <v>596</v>
      </c>
      <c r="Q133" s="22">
        <v>1</v>
      </c>
      <c r="R133" s="22" t="s">
        <v>23</v>
      </c>
      <c r="S133" s="22">
        <v>4</v>
      </c>
      <c r="T133" s="22"/>
      <c r="U133" s="22"/>
      <c r="V133" s="22"/>
      <c r="W133" s="22"/>
      <c r="X133" s="23"/>
      <c r="Y133" s="23"/>
      <c r="Z133" s="23"/>
      <c r="AA133" s="23"/>
      <c r="AC133" s="22" t="s">
        <v>295</v>
      </c>
      <c r="AD133" s="22">
        <v>-1200</v>
      </c>
      <c r="AE133" s="22" t="s">
        <v>288</v>
      </c>
      <c r="AF133" s="22">
        <v>150</v>
      </c>
      <c r="AG133" s="22" t="s">
        <v>584</v>
      </c>
      <c r="AH133" s="22">
        <v>250</v>
      </c>
      <c r="AJ133" s="23"/>
      <c r="AK133" s="23"/>
      <c r="AL133" s="23"/>
      <c r="AM133" s="23"/>
      <c r="AN133" s="23"/>
      <c r="AO133" s="23"/>
      <c r="AZ133" s="19"/>
      <c r="BA133" s="19"/>
      <c r="BB133" s="19"/>
    </row>
    <row r="134" customHeight="1" spans="1:54">
      <c r="A134" s="21" t="s">
        <v>526</v>
      </c>
      <c r="B134" s="21" t="s">
        <v>523</v>
      </c>
      <c r="D134" s="19"/>
      <c r="E134" s="19"/>
      <c r="G134" s="20" t="s">
        <v>362</v>
      </c>
      <c r="H134" s="20" t="s">
        <v>362</v>
      </c>
      <c r="J134" s="20"/>
      <c r="K134" s="20"/>
      <c r="L134" s="20"/>
      <c r="N134" s="22" t="s">
        <v>116</v>
      </c>
      <c r="O134" s="22">
        <v>3</v>
      </c>
      <c r="P134" s="22" t="s">
        <v>118</v>
      </c>
      <c r="Q134" s="22">
        <v>3</v>
      </c>
      <c r="R134" s="22" t="s">
        <v>89</v>
      </c>
      <c r="S134" s="22">
        <v>2</v>
      </c>
      <c r="T134" s="22"/>
      <c r="U134" s="22"/>
      <c r="V134" s="22"/>
      <c r="W134" s="22"/>
      <c r="X134" s="23"/>
      <c r="Y134" s="23"/>
      <c r="Z134" s="23"/>
      <c r="AA134" s="23"/>
      <c r="AC134" s="22" t="s">
        <v>295</v>
      </c>
      <c r="AD134" s="22">
        <v>-1800</v>
      </c>
      <c r="AE134" s="22" t="s">
        <v>289</v>
      </c>
      <c r="AF134" s="22">
        <v>150</v>
      </c>
      <c r="AG134" s="22"/>
      <c r="AH134" s="22"/>
      <c r="AJ134" s="23"/>
      <c r="AK134" s="23"/>
      <c r="AL134" s="23"/>
      <c r="AM134" s="23"/>
      <c r="AN134" s="23"/>
      <c r="AO134" s="23"/>
      <c r="AZ134" s="19"/>
      <c r="BA134" s="19"/>
      <c r="BB134" s="19"/>
    </row>
    <row r="135" customHeight="1" spans="1:54">
      <c r="A135" s="21" t="s">
        <v>527</v>
      </c>
      <c r="B135" s="21" t="s">
        <v>523</v>
      </c>
      <c r="D135" s="19"/>
      <c r="E135" s="19"/>
      <c r="G135" s="20" t="s">
        <v>519</v>
      </c>
      <c r="H135" s="20" t="s">
        <v>362</v>
      </c>
      <c r="J135" s="20"/>
      <c r="K135" s="20"/>
      <c r="L135" s="20"/>
      <c r="N135" s="22" t="s">
        <v>116</v>
      </c>
      <c r="O135" s="22">
        <v>3</v>
      </c>
      <c r="P135" s="22" t="s">
        <v>118</v>
      </c>
      <c r="Q135" s="22">
        <v>2</v>
      </c>
      <c r="R135" s="22" t="s">
        <v>89</v>
      </c>
      <c r="S135" s="22">
        <v>2</v>
      </c>
      <c r="T135" s="22" t="s">
        <v>596</v>
      </c>
      <c r="U135" s="22">
        <v>1</v>
      </c>
      <c r="V135" s="22" t="s">
        <v>23</v>
      </c>
      <c r="W135" s="22">
        <v>5</v>
      </c>
      <c r="X135" s="23"/>
      <c r="Y135" s="23"/>
      <c r="Z135" s="23"/>
      <c r="AA135" s="23"/>
      <c r="AC135" s="22" t="s">
        <v>295</v>
      </c>
      <c r="AD135" s="22">
        <v>-2400</v>
      </c>
      <c r="AE135" s="22" t="s">
        <v>288</v>
      </c>
      <c r="AF135" s="22">
        <v>250</v>
      </c>
      <c r="AG135" s="22" t="s">
        <v>289</v>
      </c>
      <c r="AH135" s="22">
        <v>150</v>
      </c>
      <c r="AJ135" s="23"/>
      <c r="AK135" s="23"/>
      <c r="AL135" s="23"/>
      <c r="AM135" s="23"/>
      <c r="AN135" s="23"/>
      <c r="AO135" s="23"/>
      <c r="AZ135" s="19"/>
      <c r="BA135" s="19"/>
      <c r="BB135" s="19"/>
    </row>
    <row r="136" customHeight="1" spans="1:54">
      <c r="A136" s="18" t="s">
        <v>529</v>
      </c>
      <c r="B136" s="18" t="s">
        <v>528</v>
      </c>
      <c r="D136" s="19"/>
      <c r="E136" s="19"/>
      <c r="G136" s="20" t="s">
        <v>362</v>
      </c>
      <c r="H136" s="20" t="s">
        <v>362</v>
      </c>
      <c r="J136" s="20"/>
      <c r="K136" s="20"/>
      <c r="L136" s="20"/>
      <c r="N136" s="22" t="s">
        <v>79</v>
      </c>
      <c r="O136" s="22">
        <v>40</v>
      </c>
      <c r="P136" s="22"/>
      <c r="Q136" s="22"/>
      <c r="R136" s="22"/>
      <c r="S136" s="22"/>
      <c r="T136" s="22"/>
      <c r="U136" s="22"/>
      <c r="V136" s="22"/>
      <c r="W136" s="22"/>
      <c r="X136" s="23" t="s">
        <v>615</v>
      </c>
      <c r="Y136" s="23">
        <v>100</v>
      </c>
      <c r="Z136" s="23"/>
      <c r="AA136" s="23"/>
      <c r="AC136" s="22" t="s">
        <v>295</v>
      </c>
      <c r="AD136" s="22">
        <v>4900</v>
      </c>
      <c r="AE136" s="22"/>
      <c r="AF136" s="22"/>
      <c r="AG136" s="22"/>
      <c r="AH136" s="22"/>
      <c r="AJ136" s="23"/>
      <c r="AK136" s="23"/>
      <c r="AL136" s="23"/>
      <c r="AM136" s="23"/>
      <c r="AN136" s="23"/>
      <c r="AO136" s="23"/>
      <c r="AZ136" s="19"/>
      <c r="BA136" s="19"/>
      <c r="BB136" s="19"/>
    </row>
    <row r="137" customHeight="1" spans="1:54">
      <c r="A137" s="18" t="s">
        <v>530</v>
      </c>
      <c r="B137" s="18" t="s">
        <v>528</v>
      </c>
      <c r="D137" s="19"/>
      <c r="E137" s="19"/>
      <c r="G137" s="20" t="s">
        <v>362</v>
      </c>
      <c r="H137" s="20" t="s">
        <v>362</v>
      </c>
      <c r="J137" s="20"/>
      <c r="K137" s="20"/>
      <c r="L137" s="20"/>
      <c r="N137" s="22" t="s">
        <v>79</v>
      </c>
      <c r="O137" s="22">
        <v>40</v>
      </c>
      <c r="P137" s="22" t="s">
        <v>80</v>
      </c>
      <c r="Q137" s="22">
        <v>5</v>
      </c>
      <c r="R137" s="22"/>
      <c r="S137" s="22"/>
      <c r="T137" s="22"/>
      <c r="U137" s="22"/>
      <c r="V137" s="22"/>
      <c r="W137" s="22"/>
      <c r="X137" s="23" t="s">
        <v>615</v>
      </c>
      <c r="Y137" s="23">
        <v>150</v>
      </c>
      <c r="Z137" s="23"/>
      <c r="AA137" s="23"/>
      <c r="AC137" s="22" t="s">
        <v>295</v>
      </c>
      <c r="AD137" s="22">
        <v>4900</v>
      </c>
      <c r="AE137" s="22"/>
      <c r="AF137" s="22"/>
      <c r="AG137" s="22"/>
      <c r="AH137" s="22"/>
      <c r="AJ137" s="23"/>
      <c r="AK137" s="23"/>
      <c r="AL137" s="23"/>
      <c r="AM137" s="23"/>
      <c r="AN137" s="23"/>
      <c r="AO137" s="23"/>
      <c r="AZ137" s="19"/>
      <c r="BA137" s="19"/>
      <c r="BB137" s="19"/>
    </row>
    <row r="138" customHeight="1" spans="1:54">
      <c r="A138" s="18" t="s">
        <v>532</v>
      </c>
      <c r="B138" s="18" t="s">
        <v>531</v>
      </c>
      <c r="D138" s="19"/>
      <c r="E138" s="19"/>
      <c r="G138" s="20" t="s">
        <v>362</v>
      </c>
      <c r="H138" s="20" t="s">
        <v>362</v>
      </c>
      <c r="J138" s="20"/>
      <c r="K138" s="20"/>
      <c r="L138" s="20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3"/>
      <c r="Y138" s="23"/>
      <c r="Z138" s="23"/>
      <c r="AA138" s="23"/>
      <c r="AC138" s="22"/>
      <c r="AD138" s="22"/>
      <c r="AE138" s="22"/>
      <c r="AF138" s="22"/>
      <c r="AG138" s="22"/>
      <c r="AH138" s="22"/>
      <c r="AJ138" s="23"/>
      <c r="AK138" s="23"/>
      <c r="AL138" s="23"/>
      <c r="AM138" s="23"/>
      <c r="AN138" s="23"/>
      <c r="AO138" s="23"/>
      <c r="AZ138" s="19"/>
      <c r="BA138" s="19"/>
      <c r="BB138" s="19"/>
    </row>
    <row r="139" customHeight="1" spans="1:54">
      <c r="A139" s="18" t="s">
        <v>533</v>
      </c>
      <c r="B139" s="18" t="s">
        <v>531</v>
      </c>
      <c r="D139" s="19"/>
      <c r="E139" s="19"/>
      <c r="G139" s="20" t="s">
        <v>362</v>
      </c>
      <c r="H139" s="20" t="s">
        <v>362</v>
      </c>
      <c r="J139" s="20"/>
      <c r="K139" s="20"/>
      <c r="L139" s="20"/>
      <c r="N139" s="22" t="s">
        <v>76</v>
      </c>
      <c r="O139" s="22">
        <v>15</v>
      </c>
      <c r="P139" s="22"/>
      <c r="Q139" s="22"/>
      <c r="R139" s="22"/>
      <c r="S139" s="22"/>
      <c r="T139" s="22"/>
      <c r="U139" s="22"/>
      <c r="V139" s="22"/>
      <c r="W139" s="22"/>
      <c r="X139" s="23" t="s">
        <v>101</v>
      </c>
      <c r="Y139" s="23">
        <v>30</v>
      </c>
      <c r="Z139" s="23" t="s">
        <v>615</v>
      </c>
      <c r="AA139" s="23">
        <v>-30</v>
      </c>
      <c r="AC139" s="22" t="s">
        <v>578</v>
      </c>
      <c r="AD139" s="22">
        <v>100</v>
      </c>
      <c r="AE139" s="22"/>
      <c r="AF139" s="22"/>
      <c r="AG139" s="22"/>
      <c r="AH139" s="22"/>
      <c r="AJ139" s="23"/>
      <c r="AK139" s="23"/>
      <c r="AL139" s="23"/>
      <c r="AM139" s="23"/>
      <c r="AN139" s="23"/>
      <c r="AO139" s="23"/>
      <c r="AZ139" s="19"/>
      <c r="BA139" s="19"/>
      <c r="BB139" s="19"/>
    </row>
    <row r="140" customHeight="1" spans="1:54">
      <c r="A140" s="18" t="s">
        <v>534</v>
      </c>
      <c r="B140" s="18" t="s">
        <v>531</v>
      </c>
      <c r="D140" s="19"/>
      <c r="E140" s="19"/>
      <c r="G140" s="20" t="s">
        <v>362</v>
      </c>
      <c r="H140" s="20" t="s">
        <v>362</v>
      </c>
      <c r="J140" s="20"/>
      <c r="K140" s="20"/>
      <c r="L140" s="20"/>
      <c r="N140" s="22" t="s">
        <v>76</v>
      </c>
      <c r="O140" s="22">
        <v>15</v>
      </c>
      <c r="P140" s="22" t="s">
        <v>83</v>
      </c>
      <c r="Q140" s="22">
        <v>5</v>
      </c>
      <c r="R140" s="22"/>
      <c r="S140" s="22"/>
      <c r="T140" s="22"/>
      <c r="U140" s="22"/>
      <c r="V140" s="22"/>
      <c r="W140" s="22"/>
      <c r="X140" s="23" t="s">
        <v>101</v>
      </c>
      <c r="Y140" s="23">
        <v>50</v>
      </c>
      <c r="Z140" s="23" t="s">
        <v>615</v>
      </c>
      <c r="AA140" s="23">
        <v>-50</v>
      </c>
      <c r="AC140" s="22" t="s">
        <v>578</v>
      </c>
      <c r="AD140" s="22">
        <v>200</v>
      </c>
      <c r="AE140" s="22"/>
      <c r="AF140" s="22"/>
      <c r="AG140" s="22"/>
      <c r="AH140" s="22"/>
      <c r="AJ140" s="23"/>
      <c r="AK140" s="23"/>
      <c r="AL140" s="23"/>
      <c r="AM140" s="23"/>
      <c r="AN140" s="23"/>
      <c r="AO140" s="23"/>
      <c r="AZ140" s="19"/>
      <c r="BA140" s="19"/>
      <c r="BB140" s="19"/>
    </row>
    <row r="141" customHeight="1" spans="1:54">
      <c r="A141" s="18" t="s">
        <v>536</v>
      </c>
      <c r="B141" s="18" t="s">
        <v>535</v>
      </c>
      <c r="D141" s="19"/>
      <c r="E141" s="19"/>
      <c r="G141" s="20" t="s">
        <v>362</v>
      </c>
      <c r="H141" s="20" t="s">
        <v>362</v>
      </c>
      <c r="J141" s="20"/>
      <c r="K141" s="20"/>
      <c r="L141" s="20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3"/>
      <c r="Y141" s="23"/>
      <c r="Z141" s="23"/>
      <c r="AA141" s="23"/>
      <c r="AC141" s="22"/>
      <c r="AD141" s="22"/>
      <c r="AE141" s="22"/>
      <c r="AF141" s="22"/>
      <c r="AG141" s="22"/>
      <c r="AH141" s="22"/>
      <c r="AJ141" s="23"/>
      <c r="AK141" s="23"/>
      <c r="AL141" s="23"/>
      <c r="AM141" s="23"/>
      <c r="AN141" s="23"/>
      <c r="AO141" s="23"/>
      <c r="AZ141" s="19"/>
      <c r="BA141" s="19"/>
      <c r="BB141" s="19"/>
    </row>
    <row r="142" customHeight="1" spans="1:54">
      <c r="A142" s="18" t="s">
        <v>537</v>
      </c>
      <c r="B142" s="18" t="s">
        <v>535</v>
      </c>
      <c r="D142" s="19"/>
      <c r="E142" s="19"/>
      <c r="G142" s="20" t="s">
        <v>362</v>
      </c>
      <c r="H142" s="20" t="s">
        <v>362</v>
      </c>
      <c r="J142" s="20"/>
      <c r="K142" s="20"/>
      <c r="L142" s="20"/>
      <c r="N142" s="22" t="s">
        <v>116</v>
      </c>
      <c r="O142" s="22">
        <v>6</v>
      </c>
      <c r="P142" s="22"/>
      <c r="Q142" s="22"/>
      <c r="R142" s="22"/>
      <c r="S142" s="22"/>
      <c r="T142" s="22"/>
      <c r="U142" s="22"/>
      <c r="V142" s="22"/>
      <c r="W142" s="22"/>
      <c r="X142" s="23"/>
      <c r="Y142" s="23"/>
      <c r="Z142" s="23"/>
      <c r="AA142" s="23"/>
      <c r="AC142" s="22" t="s">
        <v>295</v>
      </c>
      <c r="AD142" s="22">
        <v>-1000</v>
      </c>
      <c r="AE142" s="22" t="s">
        <v>584</v>
      </c>
      <c r="AF142" s="22">
        <v>400</v>
      </c>
      <c r="AG142" s="22" t="s">
        <v>288</v>
      </c>
      <c r="AH142" s="22">
        <v>100</v>
      </c>
      <c r="AJ142" s="23"/>
      <c r="AK142" s="23"/>
      <c r="AL142" s="23"/>
      <c r="AM142" s="23"/>
      <c r="AN142" s="23"/>
      <c r="AO142" s="23"/>
      <c r="AZ142" s="19"/>
      <c r="BA142" s="19"/>
      <c r="BB142" s="19"/>
    </row>
    <row r="143" customHeight="1" spans="1:54">
      <c r="A143" s="18" t="s">
        <v>538</v>
      </c>
      <c r="B143" s="18" t="s">
        <v>535</v>
      </c>
      <c r="D143" s="19"/>
      <c r="E143" s="19"/>
      <c r="G143" s="20" t="s">
        <v>362</v>
      </c>
      <c r="H143" s="20" t="s">
        <v>362</v>
      </c>
      <c r="J143" s="20"/>
      <c r="K143" s="20"/>
      <c r="L143" s="20"/>
      <c r="N143" s="22" t="s">
        <v>116</v>
      </c>
      <c r="O143" s="22">
        <v>8</v>
      </c>
      <c r="P143" s="22" t="s">
        <v>23</v>
      </c>
      <c r="Q143" s="22">
        <v>6</v>
      </c>
      <c r="R143" s="22"/>
      <c r="S143" s="22"/>
      <c r="T143" s="22"/>
      <c r="U143" s="22"/>
      <c r="V143" s="22"/>
      <c r="W143" s="22"/>
      <c r="X143" s="23"/>
      <c r="Y143" s="23"/>
      <c r="Z143" s="23"/>
      <c r="AA143" s="23"/>
      <c r="AC143" s="22" t="s">
        <v>295</v>
      </c>
      <c r="AD143" s="22">
        <v>-2000</v>
      </c>
      <c r="AE143" s="22" t="s">
        <v>584</v>
      </c>
      <c r="AF143" s="22">
        <v>600</v>
      </c>
      <c r="AG143" s="22" t="s">
        <v>288</v>
      </c>
      <c r="AH143" s="22">
        <v>300</v>
      </c>
      <c r="AJ143" s="23"/>
      <c r="AK143" s="23"/>
      <c r="AL143" s="23"/>
      <c r="AM143" s="23"/>
      <c r="AN143" s="23"/>
      <c r="AO143" s="23"/>
      <c r="AZ143" s="19"/>
      <c r="BA143" s="19"/>
      <c r="BB143" s="19"/>
    </row>
    <row r="144" customHeight="1" spans="1:54">
      <c r="A144" s="18" t="s">
        <v>399</v>
      </c>
      <c r="B144" s="18" t="s">
        <v>539</v>
      </c>
      <c r="D144" s="19"/>
      <c r="E144" s="19"/>
      <c r="G144" s="20" t="s">
        <v>362</v>
      </c>
      <c r="H144" s="20" t="s">
        <v>362</v>
      </c>
      <c r="J144" s="20"/>
      <c r="K144" s="20"/>
      <c r="L144" s="20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3"/>
      <c r="Y144" s="23"/>
      <c r="Z144" s="23"/>
      <c r="AA144" s="23"/>
      <c r="AC144" s="22"/>
      <c r="AD144" s="22"/>
      <c r="AE144" s="22"/>
      <c r="AF144" s="22"/>
      <c r="AG144" s="22"/>
      <c r="AH144" s="22"/>
      <c r="AJ144" s="23"/>
      <c r="AK144" s="23"/>
      <c r="AL144" s="23"/>
      <c r="AM144" s="23"/>
      <c r="AN144" s="23"/>
      <c r="AO144" s="23"/>
      <c r="AZ144" s="19"/>
      <c r="BA144" s="19"/>
      <c r="BB144" s="19"/>
    </row>
    <row r="145" customHeight="1" spans="1:54">
      <c r="A145" s="18" t="s">
        <v>540</v>
      </c>
      <c r="B145" s="18" t="s">
        <v>539</v>
      </c>
      <c r="D145" s="19"/>
      <c r="E145" s="19"/>
      <c r="G145" s="20" t="s">
        <v>362</v>
      </c>
      <c r="H145" s="20" t="s">
        <v>362</v>
      </c>
      <c r="J145" s="20"/>
      <c r="K145" s="20"/>
      <c r="L145" s="20"/>
      <c r="N145" s="22" t="s">
        <v>118</v>
      </c>
      <c r="O145" s="22">
        <v>2</v>
      </c>
      <c r="P145" s="22" t="s">
        <v>89</v>
      </c>
      <c r="Q145" s="22">
        <v>1</v>
      </c>
      <c r="R145" s="22" t="s">
        <v>116</v>
      </c>
      <c r="S145" s="22">
        <v>6</v>
      </c>
      <c r="T145" s="22"/>
      <c r="U145" s="22"/>
      <c r="V145" s="22"/>
      <c r="W145" s="22"/>
      <c r="X145" s="23"/>
      <c r="Y145" s="23"/>
      <c r="Z145" s="23"/>
      <c r="AA145" s="23"/>
      <c r="AC145" s="22" t="s">
        <v>295</v>
      </c>
      <c r="AD145" s="22">
        <v>-1500</v>
      </c>
      <c r="AE145" s="22" t="s">
        <v>289</v>
      </c>
      <c r="AF145" s="22">
        <v>200</v>
      </c>
      <c r="AG145" s="22"/>
      <c r="AH145" s="22"/>
      <c r="AJ145" s="23"/>
      <c r="AK145" s="23"/>
      <c r="AL145" s="23"/>
      <c r="AM145" s="23"/>
      <c r="AN145" s="23"/>
      <c r="AO145" s="23"/>
      <c r="AZ145" s="19"/>
      <c r="BA145" s="19"/>
      <c r="BB145" s="19"/>
    </row>
    <row r="146" customHeight="1" spans="1:54">
      <c r="A146" s="18" t="s">
        <v>541</v>
      </c>
      <c r="B146" s="18" t="s">
        <v>539</v>
      </c>
      <c r="D146" s="19"/>
      <c r="E146" s="19"/>
      <c r="G146" s="20" t="s">
        <v>362</v>
      </c>
      <c r="H146" s="20" t="s">
        <v>362</v>
      </c>
      <c r="J146" s="20"/>
      <c r="K146" s="20"/>
      <c r="L146" s="20"/>
      <c r="N146" s="22" t="s">
        <v>118</v>
      </c>
      <c r="O146" s="22">
        <v>4</v>
      </c>
      <c r="P146" s="22" t="s">
        <v>89</v>
      </c>
      <c r="Q146" s="22">
        <v>2</v>
      </c>
      <c r="R146" s="22" t="s">
        <v>116</v>
      </c>
      <c r="S146" s="22">
        <v>12</v>
      </c>
      <c r="T146" s="22"/>
      <c r="U146" s="22"/>
      <c r="V146" s="22"/>
      <c r="W146" s="22"/>
      <c r="X146" s="23"/>
      <c r="Y146" s="23"/>
      <c r="Z146" s="23"/>
      <c r="AA146" s="23"/>
      <c r="AC146" s="22" t="s">
        <v>295</v>
      </c>
      <c r="AD146" s="22">
        <v>-2900</v>
      </c>
      <c r="AE146" s="22" t="s">
        <v>289</v>
      </c>
      <c r="AF146" s="22">
        <v>300</v>
      </c>
      <c r="AG146" s="22"/>
      <c r="AH146" s="22"/>
      <c r="AJ146" s="23"/>
      <c r="AK146" s="23"/>
      <c r="AL146" s="23"/>
      <c r="AM146" s="23"/>
      <c r="AN146" s="23"/>
      <c r="AO146" s="23"/>
      <c r="AZ146" s="19"/>
      <c r="BA146" s="19"/>
      <c r="BB146" s="19"/>
    </row>
    <row r="147" customHeight="1" spans="1:54">
      <c r="A147" s="18" t="s">
        <v>403</v>
      </c>
      <c r="B147" s="18" t="s">
        <v>542</v>
      </c>
      <c r="D147" s="19"/>
      <c r="E147" s="19"/>
      <c r="G147" s="20" t="s">
        <v>362</v>
      </c>
      <c r="H147" s="20" t="s">
        <v>362</v>
      </c>
      <c r="J147" s="20"/>
      <c r="K147" s="20"/>
      <c r="L147" s="20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3"/>
      <c r="Y147" s="23"/>
      <c r="Z147" s="23"/>
      <c r="AA147" s="23"/>
      <c r="AC147" s="22"/>
      <c r="AD147" s="22"/>
      <c r="AE147" s="22"/>
      <c r="AF147" s="22"/>
      <c r="AG147" s="22"/>
      <c r="AH147" s="22"/>
      <c r="AJ147" s="23"/>
      <c r="AK147" s="23"/>
      <c r="AL147" s="23"/>
      <c r="AM147" s="23"/>
      <c r="AN147" s="23"/>
      <c r="AO147" s="23"/>
      <c r="AZ147" s="19"/>
      <c r="BA147" s="19"/>
      <c r="BB147" s="19"/>
    </row>
    <row r="148" customHeight="1" spans="1:54">
      <c r="A148" s="18" t="s">
        <v>543</v>
      </c>
      <c r="B148" s="18" t="s">
        <v>542</v>
      </c>
      <c r="D148" s="19"/>
      <c r="E148" s="19"/>
      <c r="G148" s="20" t="s">
        <v>538</v>
      </c>
      <c r="H148" s="20" t="s">
        <v>541</v>
      </c>
      <c r="J148" s="20"/>
      <c r="K148" s="20"/>
      <c r="L148" s="20"/>
      <c r="N148" s="22" t="s">
        <v>23</v>
      </c>
      <c r="O148" s="22">
        <v>4</v>
      </c>
      <c r="P148" s="22" t="s">
        <v>116</v>
      </c>
      <c r="Q148" s="22">
        <v>4</v>
      </c>
      <c r="R148" s="22" t="s">
        <v>118</v>
      </c>
      <c r="S148" s="22">
        <v>1</v>
      </c>
      <c r="T148" s="22" t="s">
        <v>89</v>
      </c>
      <c r="U148" s="22">
        <v>1</v>
      </c>
      <c r="V148" s="22" t="s">
        <v>83</v>
      </c>
      <c r="W148" s="22">
        <v>1</v>
      </c>
      <c r="X148" s="23"/>
      <c r="Y148" s="23"/>
      <c r="Z148" s="23"/>
      <c r="AA148" s="23"/>
      <c r="AC148" s="22" t="s">
        <v>584</v>
      </c>
      <c r="AD148" s="22">
        <v>-600</v>
      </c>
      <c r="AE148" s="22" t="s">
        <v>288</v>
      </c>
      <c r="AF148" s="22">
        <v>-150</v>
      </c>
      <c r="AG148" s="22" t="s">
        <v>289</v>
      </c>
      <c r="AH148" s="22">
        <v>-150</v>
      </c>
      <c r="AJ148" s="23"/>
      <c r="AK148" s="23"/>
      <c r="AL148" s="23"/>
      <c r="AM148" s="23"/>
      <c r="AN148" s="23"/>
      <c r="AO148" s="23"/>
      <c r="AZ148" s="19"/>
      <c r="BA148" s="19"/>
      <c r="BB148" s="19"/>
    </row>
  </sheetData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202"/>
  <sheetViews>
    <sheetView showGridLines="0" zoomScale="90" zoomScaleNormal="90" workbookViewId="0">
      <selection activeCell="E2" sqref="E2"/>
    </sheetView>
  </sheetViews>
  <sheetFormatPr defaultColWidth="9" defaultRowHeight="20" customHeight="1" outlineLevelCol="4"/>
  <cols>
    <col min="1" max="1" width="41.875" customWidth="1"/>
    <col min="2" max="2" width="71.5" style="2" customWidth="1"/>
    <col min="3" max="3" width="16.125" customWidth="1"/>
    <col min="4" max="5" width="41.875" customWidth="1"/>
  </cols>
  <sheetData>
    <row r="1" customFormat="1" customHeight="1" spans="1:5">
      <c r="A1" s="3" t="s">
        <v>616</v>
      </c>
      <c r="B1" s="4" t="s">
        <v>44</v>
      </c>
      <c r="C1" s="5" t="s">
        <v>44</v>
      </c>
      <c r="D1" s="6" t="s">
        <v>44</v>
      </c>
      <c r="E1" s="6"/>
    </row>
    <row r="2" s="1" customFormat="1" ht="37" customHeight="1" spans="1:5">
      <c r="A2" s="7" t="s">
        <v>45</v>
      </c>
      <c r="B2" s="7" t="s">
        <v>20</v>
      </c>
      <c r="C2" s="7" t="s">
        <v>617</v>
      </c>
      <c r="D2" s="7" t="s">
        <v>618</v>
      </c>
      <c r="E2" s="7" t="s">
        <v>619</v>
      </c>
    </row>
    <row r="3" s="1" customFormat="1" ht="37" customHeight="1" spans="1:5">
      <c r="A3" s="7" t="s">
        <v>620</v>
      </c>
      <c r="B3" s="8" t="s">
        <v>621</v>
      </c>
      <c r="C3" s="7"/>
      <c r="D3" s="7" t="s">
        <v>622</v>
      </c>
      <c r="E3" s="7" t="s">
        <v>622</v>
      </c>
    </row>
    <row r="4" customFormat="1" customHeight="1" spans="1:5">
      <c r="A4" s="4" t="s">
        <v>381</v>
      </c>
      <c r="B4" s="5" t="s">
        <v>623</v>
      </c>
      <c r="C4" s="4" t="s">
        <v>335</v>
      </c>
      <c r="D4" s="4" t="s">
        <v>624</v>
      </c>
      <c r="E4" s="4" t="s">
        <v>625</v>
      </c>
    </row>
    <row r="5" customFormat="1" customHeight="1" spans="1:5">
      <c r="A5" s="4" t="s">
        <v>382</v>
      </c>
      <c r="B5" s="5" t="s">
        <v>626</v>
      </c>
      <c r="C5" s="4" t="s">
        <v>335</v>
      </c>
      <c r="D5" s="4"/>
      <c r="E5" s="4"/>
    </row>
    <row r="6" customFormat="1" customHeight="1" spans="1:5">
      <c r="A6" s="4" t="s">
        <v>383</v>
      </c>
      <c r="B6" s="5" t="s">
        <v>627</v>
      </c>
      <c r="C6" s="4" t="s">
        <v>335</v>
      </c>
      <c r="D6" s="4"/>
      <c r="E6" s="4"/>
    </row>
    <row r="7" customFormat="1" customHeight="1" spans="1:5">
      <c r="A7" s="4" t="s">
        <v>384</v>
      </c>
      <c r="B7" s="5" t="s">
        <v>628</v>
      </c>
      <c r="C7" s="4" t="s">
        <v>335</v>
      </c>
      <c r="D7" s="4"/>
      <c r="E7" s="4"/>
    </row>
    <row r="8" customFormat="1" customHeight="1" spans="1:5">
      <c r="A8" s="4" t="s">
        <v>385</v>
      </c>
      <c r="B8" s="5" t="s">
        <v>629</v>
      </c>
      <c r="C8" s="4" t="s">
        <v>335</v>
      </c>
      <c r="D8" s="4"/>
      <c r="E8" s="4"/>
    </row>
    <row r="9" customFormat="1" customHeight="1" spans="1:5">
      <c r="A9" s="4" t="s">
        <v>386</v>
      </c>
      <c r="B9" s="5" t="s">
        <v>630</v>
      </c>
      <c r="C9" s="4" t="s">
        <v>335</v>
      </c>
      <c r="D9" s="4"/>
      <c r="E9" s="4"/>
    </row>
    <row r="10" customFormat="1" customHeight="1" spans="1:5">
      <c r="A10" s="4" t="s">
        <v>387</v>
      </c>
      <c r="B10" s="5" t="s">
        <v>631</v>
      </c>
      <c r="C10" s="4" t="s">
        <v>335</v>
      </c>
      <c r="D10" s="4"/>
      <c r="E10" s="4"/>
    </row>
    <row r="11" customFormat="1" customHeight="1" spans="1:5">
      <c r="A11" s="4" t="s">
        <v>388</v>
      </c>
      <c r="B11" s="5" t="s">
        <v>632</v>
      </c>
      <c r="C11" s="4" t="s">
        <v>335</v>
      </c>
      <c r="D11" s="4"/>
      <c r="E11" s="4"/>
    </row>
    <row r="12" customFormat="1" customHeight="1" spans="1:5">
      <c r="A12" s="4" t="s">
        <v>375</v>
      </c>
      <c r="B12" s="5" t="s">
        <v>633</v>
      </c>
      <c r="C12" s="4" t="s">
        <v>335</v>
      </c>
      <c r="D12" s="4"/>
      <c r="E12" s="4"/>
    </row>
    <row r="13" customFormat="1" customHeight="1" spans="1:5">
      <c r="A13" s="9" t="s">
        <v>376</v>
      </c>
      <c r="B13" s="10" t="s">
        <v>634</v>
      </c>
      <c r="C13" s="9" t="s">
        <v>335</v>
      </c>
      <c r="D13" s="9"/>
      <c r="E13" s="9"/>
    </row>
    <row r="14" customFormat="1" customHeight="1" spans="1:5">
      <c r="A14" s="4" t="s">
        <v>377</v>
      </c>
      <c r="B14" s="5" t="s">
        <v>635</v>
      </c>
      <c r="C14" s="4" t="s">
        <v>335</v>
      </c>
      <c r="D14" s="4"/>
      <c r="E14" s="4"/>
    </row>
    <row r="15" customFormat="1" customHeight="1" spans="1:5">
      <c r="A15" s="4" t="s">
        <v>378</v>
      </c>
      <c r="B15" s="5" t="s">
        <v>636</v>
      </c>
      <c r="C15" s="4" t="s">
        <v>335</v>
      </c>
      <c r="D15" s="4"/>
      <c r="E15" s="4"/>
    </row>
    <row r="16" customFormat="1" customHeight="1" spans="1:5">
      <c r="A16" s="4" t="s">
        <v>379</v>
      </c>
      <c r="B16" s="5" t="s">
        <v>637</v>
      </c>
      <c r="C16" s="4" t="s">
        <v>335</v>
      </c>
      <c r="D16" s="4"/>
      <c r="E16" s="4"/>
    </row>
    <row r="17" customFormat="1" customHeight="1" spans="1:5">
      <c r="A17" s="4" t="s">
        <v>390</v>
      </c>
      <c r="B17" s="5" t="s">
        <v>638</v>
      </c>
      <c r="C17" s="4" t="s">
        <v>335</v>
      </c>
      <c r="D17" s="4"/>
      <c r="E17" s="4"/>
    </row>
    <row r="18" customFormat="1" customHeight="1" spans="1:5">
      <c r="A18" s="4" t="s">
        <v>391</v>
      </c>
      <c r="B18" s="5" t="s">
        <v>639</v>
      </c>
      <c r="C18" s="4" t="s">
        <v>335</v>
      </c>
      <c r="D18" s="4"/>
      <c r="E18" s="4"/>
    </row>
    <row r="19" customFormat="1" customHeight="1" spans="1:5">
      <c r="A19" s="4" t="s">
        <v>392</v>
      </c>
      <c r="B19" s="5" t="s">
        <v>640</v>
      </c>
      <c r="C19" s="4" t="s">
        <v>335</v>
      </c>
      <c r="D19" s="4"/>
      <c r="E19" s="4"/>
    </row>
    <row r="20" customFormat="1" customHeight="1" spans="1:5">
      <c r="A20" s="4" t="s">
        <v>393</v>
      </c>
      <c r="B20" s="5" t="s">
        <v>641</v>
      </c>
      <c r="C20" s="4" t="s">
        <v>335</v>
      </c>
      <c r="D20" s="4"/>
      <c r="E20" s="4"/>
    </row>
    <row r="21" customFormat="1" customHeight="1" spans="1:5">
      <c r="A21" s="4" t="s">
        <v>395</v>
      </c>
      <c r="B21" s="5" t="s">
        <v>642</v>
      </c>
      <c r="C21" s="4" t="s">
        <v>335</v>
      </c>
      <c r="D21" s="4"/>
      <c r="E21" s="4"/>
    </row>
    <row r="22" customFormat="1" customHeight="1" spans="1:5">
      <c r="A22" s="4" t="s">
        <v>396</v>
      </c>
      <c r="B22" s="5" t="s">
        <v>643</v>
      </c>
      <c r="C22" s="4" t="s">
        <v>335</v>
      </c>
      <c r="D22" s="4"/>
      <c r="E22" s="4"/>
    </row>
    <row r="23" customFormat="1" customHeight="1" spans="1:5">
      <c r="A23" s="4" t="s">
        <v>397</v>
      </c>
      <c r="B23" s="5" t="s">
        <v>644</v>
      </c>
      <c r="C23" s="4" t="s">
        <v>335</v>
      </c>
      <c r="D23" s="4"/>
      <c r="E23" s="4"/>
    </row>
    <row r="24" customFormat="1" customHeight="1" spans="1:5">
      <c r="A24" s="4" t="s">
        <v>591</v>
      </c>
      <c r="B24" s="5" t="s">
        <v>645</v>
      </c>
      <c r="C24" s="4" t="s">
        <v>335</v>
      </c>
      <c r="D24" s="4"/>
      <c r="E24" s="4"/>
    </row>
    <row r="25" customFormat="1" customHeight="1" spans="1:5">
      <c r="A25" s="4" t="s">
        <v>400</v>
      </c>
      <c r="B25" s="5" t="s">
        <v>646</v>
      </c>
      <c r="C25" s="4" t="s">
        <v>335</v>
      </c>
      <c r="D25" s="4"/>
      <c r="E25" s="4"/>
    </row>
    <row r="26" customFormat="1" customHeight="1" spans="1:5">
      <c r="A26" s="4" t="s">
        <v>372</v>
      </c>
      <c r="B26" s="5" t="s">
        <v>647</v>
      </c>
      <c r="C26" s="4" t="s">
        <v>335</v>
      </c>
      <c r="D26" s="4"/>
      <c r="E26" s="4"/>
    </row>
    <row r="27" customFormat="1" customHeight="1" spans="1:5">
      <c r="A27" s="4" t="s">
        <v>401</v>
      </c>
      <c r="B27" s="5" t="s">
        <v>648</v>
      </c>
      <c r="C27" s="4" t="s">
        <v>335</v>
      </c>
      <c r="D27" s="4"/>
      <c r="E27" s="4"/>
    </row>
    <row r="28" customFormat="1" customHeight="1" spans="1:5">
      <c r="A28" s="4" t="s">
        <v>594</v>
      </c>
      <c r="B28" s="5" t="s">
        <v>649</v>
      </c>
      <c r="C28" s="4" t="s">
        <v>335</v>
      </c>
      <c r="D28" s="4"/>
      <c r="E28" s="4"/>
    </row>
    <row r="29" customFormat="1" customHeight="1" spans="1:5">
      <c r="A29" s="4" t="s">
        <v>404</v>
      </c>
      <c r="B29" s="5" t="s">
        <v>650</v>
      </c>
      <c r="C29" s="4" t="s">
        <v>335</v>
      </c>
      <c r="D29" s="4"/>
      <c r="E29" s="4"/>
    </row>
    <row r="30" customFormat="1" customHeight="1" spans="1:5">
      <c r="A30" s="4" t="s">
        <v>406</v>
      </c>
      <c r="B30" s="5" t="s">
        <v>651</v>
      </c>
      <c r="C30" s="4" t="s">
        <v>335</v>
      </c>
      <c r="D30" s="4"/>
      <c r="E30" s="4"/>
    </row>
    <row r="31" customFormat="1" customHeight="1" spans="1:5">
      <c r="A31" s="4" t="s">
        <v>407</v>
      </c>
      <c r="B31" s="5" t="s">
        <v>652</v>
      </c>
      <c r="C31" s="4" t="s">
        <v>335</v>
      </c>
      <c r="D31" s="4"/>
      <c r="E31" s="4"/>
    </row>
    <row r="32" customFormat="1" customHeight="1" spans="1:5">
      <c r="A32" s="4" t="s">
        <v>408</v>
      </c>
      <c r="B32" s="5" t="s">
        <v>653</v>
      </c>
      <c r="C32" s="4" t="s">
        <v>335</v>
      </c>
      <c r="D32" s="4"/>
      <c r="E32" s="4"/>
    </row>
    <row r="33" customFormat="1" customHeight="1" spans="1:5">
      <c r="A33" s="4" t="s">
        <v>597</v>
      </c>
      <c r="B33" s="5" t="s">
        <v>654</v>
      </c>
      <c r="C33" s="4" t="s">
        <v>335</v>
      </c>
      <c r="D33" s="4"/>
      <c r="E33" s="4"/>
    </row>
    <row r="34" customFormat="1" customHeight="1" spans="1:5">
      <c r="A34" s="4" t="s">
        <v>411</v>
      </c>
      <c r="B34" s="5" t="s">
        <v>655</v>
      </c>
      <c r="C34" s="4" t="s">
        <v>335</v>
      </c>
      <c r="D34" s="4"/>
      <c r="E34" s="4"/>
    </row>
    <row r="35" customFormat="1" customHeight="1" spans="1:5">
      <c r="A35" s="4" t="s">
        <v>412</v>
      </c>
      <c r="B35" s="5" t="s">
        <v>656</v>
      </c>
      <c r="C35" s="4" t="s">
        <v>335</v>
      </c>
      <c r="D35" s="4"/>
      <c r="E35" s="4"/>
    </row>
    <row r="36" customFormat="1" customHeight="1" spans="1:5">
      <c r="A36" s="4" t="s">
        <v>413</v>
      </c>
      <c r="B36" s="5" t="s">
        <v>657</v>
      </c>
      <c r="C36" s="4" t="s">
        <v>335</v>
      </c>
      <c r="D36" s="4"/>
      <c r="E36" s="4"/>
    </row>
    <row r="37" customFormat="1" customHeight="1" spans="1:5">
      <c r="A37" s="4" t="s">
        <v>414</v>
      </c>
      <c r="B37" s="5" t="s">
        <v>658</v>
      </c>
      <c r="C37" s="4" t="s">
        <v>335</v>
      </c>
      <c r="D37" s="4"/>
      <c r="E37" s="4"/>
    </row>
    <row r="38" customFormat="1" customHeight="1" spans="1:5">
      <c r="A38" s="4" t="s">
        <v>371</v>
      </c>
      <c r="B38" s="5" t="s">
        <v>659</v>
      </c>
      <c r="C38" s="4" t="s">
        <v>335</v>
      </c>
      <c r="D38" s="4"/>
      <c r="E38" s="4"/>
    </row>
    <row r="39" customFormat="1" customHeight="1" spans="1:5">
      <c r="A39" s="4" t="s">
        <v>416</v>
      </c>
      <c r="B39" s="5" t="s">
        <v>660</v>
      </c>
      <c r="C39" s="4" t="s">
        <v>335</v>
      </c>
      <c r="D39" s="4"/>
      <c r="E39" s="4"/>
    </row>
    <row r="40" customFormat="1" customHeight="1" spans="1:5">
      <c r="A40" s="4" t="s">
        <v>373</v>
      </c>
      <c r="B40" s="5" t="s">
        <v>661</v>
      </c>
      <c r="C40" s="4" t="s">
        <v>335</v>
      </c>
      <c r="D40" s="4"/>
      <c r="E40" s="4"/>
    </row>
    <row r="41" customFormat="1" customHeight="1" spans="1:5">
      <c r="A41" s="4" t="s">
        <v>599</v>
      </c>
      <c r="B41" s="5" t="s">
        <v>662</v>
      </c>
      <c r="C41" s="4" t="s">
        <v>335</v>
      </c>
      <c r="D41" s="4"/>
      <c r="E41" s="4"/>
    </row>
    <row r="42" customFormat="1" customHeight="1" spans="1:5">
      <c r="A42" s="4" t="s">
        <v>419</v>
      </c>
      <c r="B42" s="5" t="s">
        <v>663</v>
      </c>
      <c r="C42" s="4" t="s">
        <v>335</v>
      </c>
      <c r="D42" s="4"/>
      <c r="E42" s="4"/>
    </row>
    <row r="43" customFormat="1" customHeight="1" spans="1:5">
      <c r="A43" s="4" t="s">
        <v>420</v>
      </c>
      <c r="B43" s="5" t="s">
        <v>664</v>
      </c>
      <c r="C43" s="4" t="s">
        <v>335</v>
      </c>
      <c r="D43" s="4"/>
      <c r="E43" s="4"/>
    </row>
    <row r="44" customFormat="1" customHeight="1" spans="1:5">
      <c r="A44" s="4" t="s">
        <v>421</v>
      </c>
      <c r="B44" s="5" t="s">
        <v>665</v>
      </c>
      <c r="C44" s="4" t="s">
        <v>335</v>
      </c>
      <c r="D44" s="4"/>
      <c r="E44" s="4"/>
    </row>
    <row r="45" customFormat="1" customHeight="1" spans="1:5">
      <c r="A45" s="4" t="s">
        <v>422</v>
      </c>
      <c r="B45" s="5" t="s">
        <v>666</v>
      </c>
      <c r="C45" s="4" t="s">
        <v>335</v>
      </c>
      <c r="D45" s="4"/>
      <c r="E45" s="4"/>
    </row>
    <row r="46" customFormat="1" customHeight="1" spans="1:5">
      <c r="A46" s="4" t="s">
        <v>424</v>
      </c>
      <c r="B46" s="11" t="s">
        <v>667</v>
      </c>
      <c r="C46" s="4" t="s">
        <v>335</v>
      </c>
      <c r="D46" s="4"/>
      <c r="E46" s="4"/>
    </row>
    <row r="47" customFormat="1" customHeight="1" spans="1:5">
      <c r="A47" s="4" t="s">
        <v>425</v>
      </c>
      <c r="B47" s="11" t="s">
        <v>668</v>
      </c>
      <c r="C47" s="4" t="s">
        <v>335</v>
      </c>
      <c r="D47" s="4"/>
      <c r="E47" s="4"/>
    </row>
    <row r="48" customFormat="1" customHeight="1" spans="1:5">
      <c r="A48" s="4" t="s">
        <v>426</v>
      </c>
      <c r="B48" s="11" t="s">
        <v>669</v>
      </c>
      <c r="C48" s="4" t="s">
        <v>335</v>
      </c>
      <c r="D48" s="4"/>
      <c r="E48" s="4"/>
    </row>
    <row r="49" customFormat="1" customHeight="1" spans="1:5">
      <c r="A49" s="4" t="s">
        <v>600</v>
      </c>
      <c r="B49" s="11" t="s">
        <v>670</v>
      </c>
      <c r="C49" s="4" t="s">
        <v>335</v>
      </c>
      <c r="D49" s="4"/>
      <c r="E49" s="4"/>
    </row>
    <row r="50" customFormat="1" customHeight="1" spans="1:5">
      <c r="A50" s="4" t="s">
        <v>428</v>
      </c>
      <c r="B50" s="11" t="s">
        <v>671</v>
      </c>
      <c r="C50" s="4" t="s">
        <v>335</v>
      </c>
      <c r="D50" s="4"/>
      <c r="E50" s="4"/>
    </row>
    <row r="51" customFormat="1" customHeight="1" spans="1:5">
      <c r="A51" s="4" t="s">
        <v>429</v>
      </c>
      <c r="B51" s="11" t="s">
        <v>672</v>
      </c>
      <c r="C51" s="4" t="s">
        <v>335</v>
      </c>
      <c r="D51" s="4"/>
      <c r="E51" s="4"/>
    </row>
    <row r="52" customFormat="1" customHeight="1" spans="1:5">
      <c r="A52" s="4" t="s">
        <v>430</v>
      </c>
      <c r="B52" s="5" t="s">
        <v>673</v>
      </c>
      <c r="C52" s="4" t="s">
        <v>335</v>
      </c>
      <c r="D52" s="4"/>
      <c r="E52" s="4"/>
    </row>
    <row r="53" customFormat="1" customHeight="1" spans="1:5">
      <c r="A53" s="4" t="s">
        <v>431</v>
      </c>
      <c r="B53" s="5" t="s">
        <v>674</v>
      </c>
      <c r="C53" s="4" t="s">
        <v>335</v>
      </c>
      <c r="D53" s="4"/>
      <c r="E53" s="4"/>
    </row>
    <row r="54" customFormat="1" customHeight="1" spans="1:5">
      <c r="A54" s="4" t="s">
        <v>433</v>
      </c>
      <c r="B54" s="5" t="s">
        <v>675</v>
      </c>
      <c r="C54" s="4" t="s">
        <v>335</v>
      </c>
      <c r="D54" s="4"/>
      <c r="E54" s="4"/>
    </row>
    <row r="55" customFormat="1" customHeight="1" spans="1:5">
      <c r="A55" s="4" t="s">
        <v>434</v>
      </c>
      <c r="B55" s="5" t="s">
        <v>676</v>
      </c>
      <c r="C55" s="4" t="s">
        <v>335</v>
      </c>
      <c r="D55" s="4"/>
      <c r="E55" s="4"/>
    </row>
    <row r="56" customFormat="1" customHeight="1" spans="1:5">
      <c r="A56" s="4" t="s">
        <v>435</v>
      </c>
      <c r="B56" s="5" t="s">
        <v>677</v>
      </c>
      <c r="C56" s="4" t="s">
        <v>335</v>
      </c>
      <c r="D56" s="4"/>
      <c r="E56" s="4"/>
    </row>
    <row r="57" customFormat="1" customHeight="1" spans="1:5">
      <c r="A57" s="4" t="s">
        <v>437</v>
      </c>
      <c r="B57" s="5" t="s">
        <v>678</v>
      </c>
      <c r="C57" s="4" t="s">
        <v>335</v>
      </c>
      <c r="D57" s="4"/>
      <c r="E57" s="4"/>
    </row>
    <row r="58" customFormat="1" customHeight="1" spans="1:5">
      <c r="A58" s="4" t="s">
        <v>438</v>
      </c>
      <c r="B58" s="5" t="s">
        <v>679</v>
      </c>
      <c r="C58" s="4" t="s">
        <v>335</v>
      </c>
      <c r="D58" s="4"/>
      <c r="E58" s="4"/>
    </row>
    <row r="59" customFormat="1" customHeight="1" spans="1:5">
      <c r="A59" s="4" t="s">
        <v>439</v>
      </c>
      <c r="B59" s="5" t="s">
        <v>680</v>
      </c>
      <c r="C59" s="4" t="s">
        <v>335</v>
      </c>
      <c r="D59" s="4"/>
      <c r="E59" s="4"/>
    </row>
    <row r="60" customFormat="1" customHeight="1" spans="1:5">
      <c r="A60" s="4" t="s">
        <v>605</v>
      </c>
      <c r="B60" s="5" t="s">
        <v>681</v>
      </c>
      <c r="C60" s="4" t="s">
        <v>335</v>
      </c>
      <c r="D60" s="4"/>
      <c r="E60" s="4"/>
    </row>
    <row r="61" customFormat="1" customHeight="1" spans="1:5">
      <c r="A61" s="4" t="s">
        <v>441</v>
      </c>
      <c r="B61" s="5" t="s">
        <v>682</v>
      </c>
      <c r="C61" s="4" t="s">
        <v>335</v>
      </c>
      <c r="D61" s="4"/>
      <c r="E61" s="4"/>
    </row>
    <row r="62" customFormat="1" customHeight="1" spans="1:5">
      <c r="A62" s="4" t="s">
        <v>442</v>
      </c>
      <c r="B62" s="5" t="s">
        <v>683</v>
      </c>
      <c r="C62" s="4" t="s">
        <v>335</v>
      </c>
      <c r="D62" s="4"/>
      <c r="E62" s="4"/>
    </row>
    <row r="63" customFormat="1" customHeight="1" spans="1:5">
      <c r="A63" s="4" t="s">
        <v>443</v>
      </c>
      <c r="B63" s="5" t="s">
        <v>684</v>
      </c>
      <c r="C63" s="4" t="s">
        <v>335</v>
      </c>
      <c r="D63" s="4"/>
      <c r="E63" s="4"/>
    </row>
    <row r="64" customFormat="1" customHeight="1" spans="1:5">
      <c r="A64" s="4" t="s">
        <v>444</v>
      </c>
      <c r="B64" s="5" t="s">
        <v>685</v>
      </c>
      <c r="C64" s="4" t="s">
        <v>335</v>
      </c>
      <c r="D64" s="4"/>
      <c r="E64" s="4"/>
    </row>
    <row r="65" customFormat="1" customHeight="1" spans="1:5">
      <c r="A65" s="4" t="s">
        <v>446</v>
      </c>
      <c r="B65" s="11" t="s">
        <v>686</v>
      </c>
      <c r="C65" s="4" t="s">
        <v>335</v>
      </c>
      <c r="D65" s="4"/>
      <c r="E65" s="4"/>
    </row>
    <row r="66" customFormat="1" customHeight="1" spans="1:5">
      <c r="A66" s="4" t="s">
        <v>447</v>
      </c>
      <c r="B66" s="11" t="s">
        <v>687</v>
      </c>
      <c r="C66" s="4" t="s">
        <v>335</v>
      </c>
      <c r="D66" s="4"/>
      <c r="E66" s="4"/>
    </row>
    <row r="67" customFormat="1" customHeight="1" spans="1:5">
      <c r="A67" s="4" t="s">
        <v>448</v>
      </c>
      <c r="B67" s="11" t="s">
        <v>688</v>
      </c>
      <c r="C67" s="4" t="s">
        <v>335</v>
      </c>
      <c r="D67" s="4"/>
      <c r="E67" s="4"/>
    </row>
    <row r="68" customFormat="1" customHeight="1" spans="1:5">
      <c r="A68" s="4" t="s">
        <v>450</v>
      </c>
      <c r="B68" s="11" t="s">
        <v>689</v>
      </c>
      <c r="C68" s="4" t="s">
        <v>335</v>
      </c>
      <c r="D68" s="4"/>
      <c r="E68" s="4"/>
    </row>
    <row r="69" customFormat="1" customHeight="1" spans="1:5">
      <c r="A69" s="4" t="s">
        <v>451</v>
      </c>
      <c r="B69" s="11" t="s">
        <v>690</v>
      </c>
      <c r="C69" s="4" t="s">
        <v>335</v>
      </c>
      <c r="D69" s="4"/>
      <c r="E69" s="4"/>
    </row>
    <row r="70" customFormat="1" customHeight="1" spans="1:5">
      <c r="A70" s="4" t="s">
        <v>607</v>
      </c>
      <c r="B70" s="11" t="s">
        <v>691</v>
      </c>
      <c r="C70" s="4" t="s">
        <v>335</v>
      </c>
      <c r="D70" s="4"/>
      <c r="E70" s="4"/>
    </row>
    <row r="71" customFormat="1" customHeight="1" spans="1:5">
      <c r="A71" s="4" t="s">
        <v>453</v>
      </c>
      <c r="B71" s="5" t="s">
        <v>692</v>
      </c>
      <c r="C71" s="4" t="s">
        <v>335</v>
      </c>
      <c r="D71" s="4"/>
      <c r="E71" s="4"/>
    </row>
    <row r="72" customFormat="1" customHeight="1" spans="1:5">
      <c r="A72" s="4" t="s">
        <v>454</v>
      </c>
      <c r="B72" s="5" t="s">
        <v>693</v>
      </c>
      <c r="C72" s="4" t="s">
        <v>335</v>
      </c>
      <c r="D72" s="4"/>
      <c r="E72" s="4"/>
    </row>
    <row r="73" customFormat="1" customHeight="1" spans="1:5">
      <c r="A73" s="4" t="s">
        <v>455</v>
      </c>
      <c r="B73" s="5" t="s">
        <v>694</v>
      </c>
      <c r="C73" s="4" t="s">
        <v>335</v>
      </c>
      <c r="D73" s="4"/>
      <c r="E73" s="4"/>
    </row>
    <row r="74" customFormat="1" customHeight="1" spans="1:5">
      <c r="A74" s="4" t="s">
        <v>456</v>
      </c>
      <c r="B74" s="5" t="s">
        <v>695</v>
      </c>
      <c r="C74" s="4" t="s">
        <v>335</v>
      </c>
      <c r="D74" s="4"/>
      <c r="E74" s="4"/>
    </row>
    <row r="75" customFormat="1" customHeight="1" spans="1:5">
      <c r="A75" s="4" t="s">
        <v>458</v>
      </c>
      <c r="B75" s="11" t="s">
        <v>696</v>
      </c>
      <c r="C75" s="4" t="s">
        <v>335</v>
      </c>
      <c r="D75" s="4"/>
      <c r="E75" s="4"/>
    </row>
    <row r="76" customFormat="1" customHeight="1" spans="1:5">
      <c r="A76" s="4" t="s">
        <v>459</v>
      </c>
      <c r="B76" s="11" t="s">
        <v>697</v>
      </c>
      <c r="C76" s="4" t="s">
        <v>335</v>
      </c>
      <c r="D76" s="4"/>
      <c r="E76" s="4"/>
    </row>
    <row r="77" customFormat="1" customHeight="1" spans="1:5">
      <c r="A77" s="4" t="s">
        <v>460</v>
      </c>
      <c r="B77" s="11" t="s">
        <v>698</v>
      </c>
      <c r="C77" s="4" t="s">
        <v>335</v>
      </c>
      <c r="D77" s="4"/>
      <c r="E77" s="4"/>
    </row>
    <row r="78" customFormat="1" customHeight="1" spans="1:5">
      <c r="A78" s="4" t="s">
        <v>462</v>
      </c>
      <c r="B78" s="11" t="s">
        <v>699</v>
      </c>
      <c r="C78" s="4" t="s">
        <v>335</v>
      </c>
      <c r="D78" s="4"/>
      <c r="E78" s="4"/>
    </row>
    <row r="79" customFormat="1" customHeight="1" spans="1:5">
      <c r="A79" s="4" t="s">
        <v>463</v>
      </c>
      <c r="B79" s="11" t="s">
        <v>700</v>
      </c>
      <c r="C79" s="4" t="s">
        <v>335</v>
      </c>
      <c r="D79" s="4"/>
      <c r="E79" s="4"/>
    </row>
    <row r="80" customFormat="1" customHeight="1" spans="1:5">
      <c r="A80" s="4" t="s">
        <v>608</v>
      </c>
      <c r="B80" s="11" t="s">
        <v>701</v>
      </c>
      <c r="C80" s="4" t="s">
        <v>335</v>
      </c>
      <c r="D80" s="4"/>
      <c r="E80" s="4"/>
    </row>
    <row r="81" customFormat="1" customHeight="1" spans="1:5">
      <c r="A81" s="4" t="s">
        <v>609</v>
      </c>
      <c r="B81" s="11" t="s">
        <v>702</v>
      </c>
      <c r="C81" s="4" t="s">
        <v>335</v>
      </c>
      <c r="D81" s="4"/>
      <c r="E81" s="4"/>
    </row>
    <row r="82" customFormat="1" customHeight="1" spans="1:5">
      <c r="A82" s="4" t="s">
        <v>466</v>
      </c>
      <c r="B82" s="11" t="s">
        <v>703</v>
      </c>
      <c r="C82" s="4" t="s">
        <v>335</v>
      </c>
      <c r="D82" s="4"/>
      <c r="E82" s="4"/>
    </row>
    <row r="83" customFormat="1" customHeight="1" spans="1:5">
      <c r="A83" s="4" t="s">
        <v>467</v>
      </c>
      <c r="B83" s="11" t="s">
        <v>704</v>
      </c>
      <c r="C83" s="4" t="s">
        <v>335</v>
      </c>
      <c r="D83" s="4"/>
      <c r="E83" s="4"/>
    </row>
    <row r="84" customFormat="1" customHeight="1" spans="1:5">
      <c r="A84" s="4" t="s">
        <v>468</v>
      </c>
      <c r="B84" s="11" t="s">
        <v>705</v>
      </c>
      <c r="C84" s="4" t="s">
        <v>335</v>
      </c>
      <c r="D84" s="4"/>
      <c r="E84" s="4"/>
    </row>
    <row r="85" customFormat="1" customHeight="1" spans="1:5">
      <c r="A85" s="4" t="s">
        <v>469</v>
      </c>
      <c r="B85" s="11" t="s">
        <v>706</v>
      </c>
      <c r="C85" s="4" t="s">
        <v>335</v>
      </c>
      <c r="D85" s="4"/>
      <c r="E85" s="4"/>
    </row>
    <row r="86" customFormat="1" customHeight="1" spans="1:5">
      <c r="A86" s="4" t="s">
        <v>610</v>
      </c>
      <c r="B86" s="11" t="s">
        <v>707</v>
      </c>
      <c r="C86" s="4" t="s">
        <v>335</v>
      </c>
      <c r="D86" s="4"/>
      <c r="E86" s="4"/>
    </row>
    <row r="87" customFormat="1" customHeight="1" spans="1:5">
      <c r="A87" s="4" t="s">
        <v>471</v>
      </c>
      <c r="B87" s="11" t="s">
        <v>708</v>
      </c>
      <c r="C87" s="4" t="s">
        <v>335</v>
      </c>
      <c r="D87" s="4"/>
      <c r="E87" s="4"/>
    </row>
    <row r="88" customFormat="1" customHeight="1" spans="1:5">
      <c r="A88" s="4" t="s">
        <v>472</v>
      </c>
      <c r="B88" s="11" t="s">
        <v>709</v>
      </c>
      <c r="C88" s="4" t="s">
        <v>335</v>
      </c>
      <c r="D88" s="4"/>
      <c r="E88" s="4"/>
    </row>
    <row r="89" customFormat="1" customHeight="1" spans="1:5">
      <c r="A89" s="4" t="s">
        <v>611</v>
      </c>
      <c r="B89" s="11" t="s">
        <v>710</v>
      </c>
      <c r="C89" s="4" t="s">
        <v>335</v>
      </c>
      <c r="D89" s="4"/>
      <c r="E89" s="4"/>
    </row>
    <row r="90" customFormat="1" customHeight="1" spans="1:5">
      <c r="A90" s="4" t="s">
        <v>474</v>
      </c>
      <c r="B90" s="11" t="s">
        <v>711</v>
      </c>
      <c r="C90" s="4" t="s">
        <v>335</v>
      </c>
      <c r="D90" s="4"/>
      <c r="E90" s="4"/>
    </row>
    <row r="91" customFormat="1" customHeight="1" spans="1:5">
      <c r="A91" s="4" t="s">
        <v>464</v>
      </c>
      <c r="B91" s="11" t="s">
        <v>712</v>
      </c>
      <c r="C91" s="4" t="s">
        <v>335</v>
      </c>
      <c r="D91" s="4"/>
      <c r="E91" s="4"/>
    </row>
    <row r="92" customFormat="1" customHeight="1" spans="1:5">
      <c r="A92" s="4" t="s">
        <v>418</v>
      </c>
      <c r="B92" s="11" t="s">
        <v>713</v>
      </c>
      <c r="C92" s="4" t="s">
        <v>335</v>
      </c>
      <c r="D92" s="4"/>
      <c r="E92" s="4"/>
    </row>
    <row r="93" customFormat="1" customHeight="1" spans="1:5">
      <c r="A93" s="4" t="s">
        <v>476</v>
      </c>
      <c r="B93" s="11" t="s">
        <v>714</v>
      </c>
      <c r="C93" s="4" t="s">
        <v>335</v>
      </c>
      <c r="D93" s="4"/>
      <c r="E93" s="4"/>
    </row>
    <row r="94" customFormat="1" customHeight="1" spans="1:5">
      <c r="A94" s="4" t="s">
        <v>477</v>
      </c>
      <c r="B94" s="11" t="s">
        <v>715</v>
      </c>
      <c r="C94" s="4" t="s">
        <v>335</v>
      </c>
      <c r="D94" s="4"/>
      <c r="E94" s="4"/>
    </row>
    <row r="95" customFormat="1" customHeight="1" spans="1:5">
      <c r="A95" s="4" t="s">
        <v>478</v>
      </c>
      <c r="B95" s="11" t="s">
        <v>716</v>
      </c>
      <c r="C95" s="4" t="s">
        <v>335</v>
      </c>
      <c r="D95" s="4"/>
      <c r="E95" s="4"/>
    </row>
    <row r="96" customFormat="1" customHeight="1" spans="1:5">
      <c r="A96" s="4" t="s">
        <v>479</v>
      </c>
      <c r="B96" s="11" t="s">
        <v>717</v>
      </c>
      <c r="C96" s="4" t="s">
        <v>335</v>
      </c>
      <c r="D96" s="4"/>
      <c r="E96" s="4"/>
    </row>
    <row r="97" customFormat="1" customHeight="1" spans="1:5">
      <c r="A97" s="4" t="s">
        <v>481</v>
      </c>
      <c r="B97" s="11" t="s">
        <v>718</v>
      </c>
      <c r="C97" s="4" t="s">
        <v>335</v>
      </c>
      <c r="D97" s="4"/>
      <c r="E97" s="4"/>
    </row>
    <row r="98" customFormat="1" customHeight="1" spans="1:5">
      <c r="A98" s="4" t="s">
        <v>482</v>
      </c>
      <c r="B98" s="11" t="s">
        <v>719</v>
      </c>
      <c r="C98" s="4" t="s">
        <v>335</v>
      </c>
      <c r="D98" s="4"/>
      <c r="E98" s="4"/>
    </row>
    <row r="99" customFormat="1" customHeight="1" spans="1:5">
      <c r="A99" s="4" t="s">
        <v>483</v>
      </c>
      <c r="B99" s="11" t="s">
        <v>720</v>
      </c>
      <c r="C99" s="4" t="s">
        <v>335</v>
      </c>
      <c r="D99" s="4"/>
      <c r="E99" s="4"/>
    </row>
    <row r="100" customFormat="1" customHeight="1" spans="1:5">
      <c r="A100" s="4" t="s">
        <v>484</v>
      </c>
      <c r="B100" s="11" t="s">
        <v>721</v>
      </c>
      <c r="C100" s="4" t="s">
        <v>335</v>
      </c>
      <c r="D100" s="4"/>
      <c r="E100" s="4"/>
    </row>
    <row r="101" customFormat="1" customHeight="1" spans="1:5">
      <c r="A101" s="4" t="s">
        <v>486</v>
      </c>
      <c r="B101" s="11" t="s">
        <v>722</v>
      </c>
      <c r="C101" s="4" t="s">
        <v>335</v>
      </c>
      <c r="D101" s="4"/>
      <c r="E101" s="4"/>
    </row>
    <row r="102" customFormat="1" customHeight="1" spans="1:5">
      <c r="A102" s="4" t="s">
        <v>487</v>
      </c>
      <c r="B102" s="11" t="s">
        <v>723</v>
      </c>
      <c r="C102" s="4" t="s">
        <v>335</v>
      </c>
      <c r="D102" s="4"/>
      <c r="E102" s="4"/>
    </row>
    <row r="103" customFormat="1" customHeight="1" spans="1:5">
      <c r="A103" s="4" t="s">
        <v>488</v>
      </c>
      <c r="B103" s="11" t="s">
        <v>724</v>
      </c>
      <c r="C103" s="4" t="s">
        <v>335</v>
      </c>
      <c r="D103" s="4"/>
      <c r="E103" s="4"/>
    </row>
    <row r="104" customFormat="1" customHeight="1" spans="1:5">
      <c r="A104" s="4" t="s">
        <v>489</v>
      </c>
      <c r="B104" s="11" t="s">
        <v>725</v>
      </c>
      <c r="C104" s="4" t="s">
        <v>335</v>
      </c>
      <c r="D104" s="4"/>
      <c r="E104" s="4"/>
    </row>
    <row r="105" customFormat="1" customHeight="1" spans="1:5">
      <c r="A105" s="4" t="s">
        <v>410</v>
      </c>
      <c r="B105" s="11" t="s">
        <v>726</v>
      </c>
      <c r="C105" s="4" t="s">
        <v>335</v>
      </c>
      <c r="D105" s="4"/>
      <c r="E105" s="4"/>
    </row>
    <row r="106" customFormat="1" customHeight="1" spans="1:5">
      <c r="A106" s="4" t="s">
        <v>491</v>
      </c>
      <c r="B106" s="11" t="s">
        <v>727</v>
      </c>
      <c r="C106" s="4" t="s">
        <v>335</v>
      </c>
      <c r="D106" s="4"/>
      <c r="E106" s="4"/>
    </row>
    <row r="107" customFormat="1" customHeight="1" spans="1:5">
      <c r="A107" s="4" t="s">
        <v>492</v>
      </c>
      <c r="B107" s="11" t="s">
        <v>728</v>
      </c>
      <c r="C107" s="4" t="s">
        <v>335</v>
      </c>
      <c r="D107" s="4"/>
      <c r="E107" s="4"/>
    </row>
    <row r="108" customFormat="1" customHeight="1" spans="1:5">
      <c r="A108" s="4" t="s">
        <v>493</v>
      </c>
      <c r="B108" s="11" t="s">
        <v>729</v>
      </c>
      <c r="C108" s="4" t="s">
        <v>335</v>
      </c>
      <c r="D108" s="4"/>
      <c r="E108" s="4"/>
    </row>
    <row r="109" customFormat="1" customHeight="1" spans="1:5">
      <c r="A109" s="4" t="s">
        <v>494</v>
      </c>
      <c r="B109" s="5" t="s">
        <v>730</v>
      </c>
      <c r="C109" s="4" t="s">
        <v>335</v>
      </c>
      <c r="D109" s="4"/>
      <c r="E109" s="4"/>
    </row>
    <row r="110" customFormat="1" customHeight="1" spans="1:5">
      <c r="A110" s="4" t="s">
        <v>496</v>
      </c>
      <c r="B110" s="11" t="s">
        <v>731</v>
      </c>
      <c r="C110" s="4" t="s">
        <v>335</v>
      </c>
      <c r="D110" s="4"/>
      <c r="E110" s="4"/>
    </row>
    <row r="111" customFormat="1" customHeight="1" spans="1:5">
      <c r="A111" s="4" t="s">
        <v>497</v>
      </c>
      <c r="B111" s="11" t="s">
        <v>732</v>
      </c>
      <c r="C111" s="4" t="s">
        <v>335</v>
      </c>
      <c r="D111" s="4"/>
      <c r="E111" s="4"/>
    </row>
    <row r="112" customFormat="1" customHeight="1" spans="1:5">
      <c r="A112" s="4" t="s">
        <v>498</v>
      </c>
      <c r="B112" s="11" t="s">
        <v>733</v>
      </c>
      <c r="C112" s="4" t="s">
        <v>335</v>
      </c>
      <c r="D112" s="4"/>
      <c r="E112" s="4"/>
    </row>
    <row r="113" customFormat="1" customHeight="1" spans="1:5">
      <c r="A113" s="4" t="s">
        <v>499</v>
      </c>
      <c r="B113" s="11" t="s">
        <v>734</v>
      </c>
      <c r="C113" s="4" t="s">
        <v>335</v>
      </c>
      <c r="D113" s="4"/>
      <c r="E113" s="4"/>
    </row>
    <row r="114" customFormat="1" customHeight="1" spans="1:5">
      <c r="A114" s="4" t="s">
        <v>500</v>
      </c>
      <c r="B114" s="11" t="s">
        <v>735</v>
      </c>
      <c r="C114" s="4" t="s">
        <v>335</v>
      </c>
      <c r="D114" s="4"/>
      <c r="E114" s="4"/>
    </row>
    <row r="115" customFormat="1" customHeight="1" spans="1:5">
      <c r="A115" s="4" t="s">
        <v>501</v>
      </c>
      <c r="B115" s="11" t="s">
        <v>736</v>
      </c>
      <c r="C115" s="4" t="s">
        <v>335</v>
      </c>
      <c r="D115" s="4"/>
      <c r="E115" s="4"/>
    </row>
    <row r="116" customFormat="1" customHeight="1" spans="1:5">
      <c r="A116" s="4" t="s">
        <v>502</v>
      </c>
      <c r="B116" s="11" t="s">
        <v>737</v>
      </c>
      <c r="C116" s="4" t="s">
        <v>335</v>
      </c>
      <c r="D116" s="4"/>
      <c r="E116" s="4"/>
    </row>
    <row r="117" customFormat="1" customHeight="1" spans="1:5">
      <c r="A117" s="4" t="s">
        <v>503</v>
      </c>
      <c r="B117" s="11" t="s">
        <v>738</v>
      </c>
      <c r="C117" s="4" t="s">
        <v>335</v>
      </c>
      <c r="D117" s="4"/>
      <c r="E117" s="4"/>
    </row>
    <row r="118" customFormat="1" customHeight="1" spans="1:5">
      <c r="A118" s="4" t="s">
        <v>505</v>
      </c>
      <c r="B118" s="11" t="s">
        <v>739</v>
      </c>
      <c r="C118" s="4" t="s">
        <v>335</v>
      </c>
      <c r="D118" s="4"/>
      <c r="E118" s="4"/>
    </row>
    <row r="119" customFormat="1" customHeight="1" spans="1:5">
      <c r="A119" s="4" t="s">
        <v>506</v>
      </c>
      <c r="B119" s="11" t="s">
        <v>740</v>
      </c>
      <c r="C119" s="4" t="s">
        <v>335</v>
      </c>
      <c r="D119" s="4"/>
      <c r="E119" s="4"/>
    </row>
    <row r="120" customFormat="1" customHeight="1" spans="1:5">
      <c r="A120" s="4" t="s">
        <v>507</v>
      </c>
      <c r="B120" s="11" t="s">
        <v>741</v>
      </c>
      <c r="C120" s="4" t="s">
        <v>335</v>
      </c>
      <c r="D120" s="4"/>
      <c r="E120" s="4"/>
    </row>
    <row r="121" customFormat="1" customHeight="1" spans="1:5">
      <c r="A121" s="4" t="s">
        <v>509</v>
      </c>
      <c r="B121" s="11" t="s">
        <v>742</v>
      </c>
      <c r="C121" s="4" t="s">
        <v>335</v>
      </c>
      <c r="D121" s="4"/>
      <c r="E121" s="4"/>
    </row>
    <row r="122" customFormat="1" customHeight="1" spans="1:5">
      <c r="A122" s="4" t="s">
        <v>510</v>
      </c>
      <c r="B122" s="11" t="s">
        <v>743</v>
      </c>
      <c r="C122" s="4" t="s">
        <v>335</v>
      </c>
      <c r="D122" s="4"/>
      <c r="E122" s="4"/>
    </row>
    <row r="123" customFormat="1" customHeight="1" spans="1:5">
      <c r="A123" s="4" t="s">
        <v>511</v>
      </c>
      <c r="B123" s="11" t="s">
        <v>744</v>
      </c>
      <c r="C123" s="4" t="s">
        <v>335</v>
      </c>
      <c r="D123" s="4"/>
      <c r="E123" s="4"/>
    </row>
    <row r="124" customFormat="1" customHeight="1" spans="1:5">
      <c r="A124" s="4" t="s">
        <v>513</v>
      </c>
      <c r="B124" s="11" t="s">
        <v>745</v>
      </c>
      <c r="C124" s="4" t="s">
        <v>335</v>
      </c>
      <c r="D124" s="4"/>
      <c r="E124" s="4"/>
    </row>
    <row r="125" customFormat="1" customHeight="1" spans="1:5">
      <c r="A125" s="4" t="s">
        <v>514</v>
      </c>
      <c r="B125" s="11" t="s">
        <v>746</v>
      </c>
      <c r="C125" s="4" t="s">
        <v>335</v>
      </c>
      <c r="D125" s="4"/>
      <c r="E125" s="4"/>
    </row>
    <row r="126" customFormat="1" customHeight="1" spans="1:5">
      <c r="A126" s="4" t="s">
        <v>515</v>
      </c>
      <c r="B126" s="11" t="s">
        <v>747</v>
      </c>
      <c r="C126" s="4" t="s">
        <v>335</v>
      </c>
      <c r="D126" s="4"/>
      <c r="E126" s="4"/>
    </row>
    <row r="127" customFormat="1" customHeight="1" spans="1:5">
      <c r="A127" s="4" t="s">
        <v>516</v>
      </c>
      <c r="B127" s="11" t="s">
        <v>748</v>
      </c>
      <c r="C127" s="4" t="s">
        <v>335</v>
      </c>
      <c r="D127" s="4"/>
      <c r="E127" s="4"/>
    </row>
    <row r="128" customFormat="1" customHeight="1" spans="1:5">
      <c r="A128" s="4" t="s">
        <v>518</v>
      </c>
      <c r="B128" s="11" t="s">
        <v>749</v>
      </c>
      <c r="C128" s="4" t="s">
        <v>335</v>
      </c>
      <c r="D128" s="4"/>
      <c r="E128" s="4"/>
    </row>
    <row r="129" customFormat="1" customHeight="1" spans="1:5">
      <c r="A129" s="4" t="s">
        <v>519</v>
      </c>
      <c r="B129" s="11" t="s">
        <v>750</v>
      </c>
      <c r="C129" s="4" t="s">
        <v>335</v>
      </c>
      <c r="D129" s="4"/>
      <c r="E129" s="4"/>
    </row>
    <row r="130" customFormat="1" customHeight="1" spans="1:5">
      <c r="A130" s="4" t="s">
        <v>521</v>
      </c>
      <c r="B130" s="11" t="s">
        <v>751</v>
      </c>
      <c r="C130" s="4" t="s">
        <v>335</v>
      </c>
      <c r="D130" s="4"/>
      <c r="E130" s="4"/>
    </row>
    <row r="131" customFormat="1" customHeight="1" spans="1:5">
      <c r="A131" s="4" t="s">
        <v>522</v>
      </c>
      <c r="B131" s="11" t="s">
        <v>752</v>
      </c>
      <c r="C131" s="4" t="s">
        <v>335</v>
      </c>
      <c r="D131" s="4"/>
      <c r="E131" s="4"/>
    </row>
    <row r="132" customFormat="1" customHeight="1" spans="1:5">
      <c r="A132" s="4" t="s">
        <v>524</v>
      </c>
      <c r="B132" s="11" t="s">
        <v>753</v>
      </c>
      <c r="C132" s="4" t="s">
        <v>335</v>
      </c>
      <c r="D132" s="4"/>
      <c r="E132" s="4"/>
    </row>
    <row r="133" customFormat="1" customHeight="1" spans="1:5">
      <c r="A133" s="4" t="s">
        <v>525</v>
      </c>
      <c r="B133" s="11" t="s">
        <v>754</v>
      </c>
      <c r="C133" s="4" t="s">
        <v>335</v>
      </c>
      <c r="D133" s="4"/>
      <c r="E133" s="4"/>
    </row>
    <row r="134" customFormat="1" customHeight="1" spans="1:5">
      <c r="A134" s="4" t="s">
        <v>526</v>
      </c>
      <c r="B134" s="11" t="s">
        <v>755</v>
      </c>
      <c r="C134" s="4" t="s">
        <v>335</v>
      </c>
      <c r="D134" s="4"/>
      <c r="E134" s="4"/>
    </row>
    <row r="135" customFormat="1" customHeight="1" spans="1:5">
      <c r="A135" s="4" t="s">
        <v>527</v>
      </c>
      <c r="B135" s="11" t="s">
        <v>756</v>
      </c>
      <c r="C135" s="4" t="s">
        <v>335</v>
      </c>
      <c r="D135" s="4"/>
      <c r="E135" s="4"/>
    </row>
    <row r="136" customFormat="1" customHeight="1" spans="1:5">
      <c r="A136" s="4" t="s">
        <v>529</v>
      </c>
      <c r="B136" s="11" t="s">
        <v>757</v>
      </c>
      <c r="C136" s="4" t="s">
        <v>335</v>
      </c>
      <c r="D136" s="4"/>
      <c r="E136" s="4"/>
    </row>
    <row r="137" customFormat="1" customHeight="1" spans="1:5">
      <c r="A137" s="4" t="s">
        <v>530</v>
      </c>
      <c r="B137" s="11" t="s">
        <v>758</v>
      </c>
      <c r="C137" s="4" t="s">
        <v>335</v>
      </c>
      <c r="D137" s="4"/>
      <c r="E137" s="4"/>
    </row>
    <row r="138" customFormat="1" customHeight="1" spans="1:5">
      <c r="A138" s="4" t="s">
        <v>532</v>
      </c>
      <c r="B138" s="11" t="s">
        <v>759</v>
      </c>
      <c r="C138" s="4" t="s">
        <v>335</v>
      </c>
      <c r="D138" s="4"/>
      <c r="E138" s="4"/>
    </row>
    <row r="139" customFormat="1" customHeight="1" spans="1:5">
      <c r="A139" s="4" t="s">
        <v>533</v>
      </c>
      <c r="B139" s="11" t="s">
        <v>760</v>
      </c>
      <c r="C139" s="4" t="s">
        <v>335</v>
      </c>
      <c r="D139" s="4"/>
      <c r="E139" s="4"/>
    </row>
    <row r="140" customFormat="1" customHeight="1" spans="1:5">
      <c r="A140" s="4" t="s">
        <v>534</v>
      </c>
      <c r="B140" s="11" t="s">
        <v>761</v>
      </c>
      <c r="C140" s="4" t="s">
        <v>335</v>
      </c>
      <c r="D140" s="4"/>
      <c r="E140" s="4"/>
    </row>
    <row r="141" customFormat="1" customHeight="1" spans="1:5">
      <c r="A141" s="4" t="s">
        <v>536</v>
      </c>
      <c r="B141" s="11" t="s">
        <v>762</v>
      </c>
      <c r="C141" s="4" t="s">
        <v>335</v>
      </c>
      <c r="D141" s="4"/>
      <c r="E141" s="4"/>
    </row>
    <row r="142" customFormat="1" customHeight="1" spans="1:5">
      <c r="A142" s="4" t="s">
        <v>537</v>
      </c>
      <c r="B142" s="11" t="s">
        <v>763</v>
      </c>
      <c r="C142" s="4" t="s">
        <v>335</v>
      </c>
      <c r="D142" s="4"/>
      <c r="E142" s="4"/>
    </row>
    <row r="143" customFormat="1" customHeight="1" spans="1:5">
      <c r="A143" s="4" t="s">
        <v>538</v>
      </c>
      <c r="B143" s="11" t="s">
        <v>764</v>
      </c>
      <c r="C143" s="4" t="s">
        <v>335</v>
      </c>
      <c r="D143" s="4"/>
      <c r="E143" s="4"/>
    </row>
    <row r="144" customFormat="1" customHeight="1" spans="1:5">
      <c r="A144" s="4" t="s">
        <v>399</v>
      </c>
      <c r="B144" s="11" t="s">
        <v>765</v>
      </c>
      <c r="C144" s="4" t="s">
        <v>335</v>
      </c>
      <c r="D144" s="4"/>
      <c r="E144" s="4"/>
    </row>
    <row r="145" customFormat="1" customHeight="1" spans="1:5">
      <c r="A145" s="4" t="s">
        <v>540</v>
      </c>
      <c r="B145" s="11" t="s">
        <v>766</v>
      </c>
      <c r="C145" s="4" t="s">
        <v>335</v>
      </c>
      <c r="D145" s="4"/>
      <c r="E145" s="4"/>
    </row>
    <row r="146" customFormat="1" customHeight="1" spans="1:5">
      <c r="A146" s="4" t="s">
        <v>541</v>
      </c>
      <c r="B146" s="11" t="s">
        <v>767</v>
      </c>
      <c r="C146" s="4" t="s">
        <v>335</v>
      </c>
      <c r="D146" s="4"/>
      <c r="E146" s="4"/>
    </row>
    <row r="147" customFormat="1" customHeight="1" spans="1:5">
      <c r="A147" s="4" t="s">
        <v>403</v>
      </c>
      <c r="B147" s="11" t="s">
        <v>768</v>
      </c>
      <c r="C147" s="4" t="s">
        <v>335</v>
      </c>
      <c r="D147" s="4"/>
      <c r="E147" s="4"/>
    </row>
    <row r="148" customFormat="1" customHeight="1" spans="1:5">
      <c r="A148" s="4" t="s">
        <v>543</v>
      </c>
      <c r="B148" s="11" t="s">
        <v>769</v>
      </c>
      <c r="C148" s="4" t="s">
        <v>335</v>
      </c>
      <c r="D148" s="4"/>
      <c r="E148" s="4"/>
    </row>
    <row r="149" customFormat="1" customHeight="1" spans="1:5">
      <c r="A149" s="12" t="s">
        <v>370</v>
      </c>
      <c r="B149" s="11" t="s">
        <v>770</v>
      </c>
      <c r="C149" s="12" t="s">
        <v>367</v>
      </c>
      <c r="D149" s="12"/>
      <c r="E149" s="12"/>
    </row>
    <row r="150" customFormat="1" customHeight="1" spans="1:5">
      <c r="A150" s="12" t="s">
        <v>374</v>
      </c>
      <c r="B150" s="11" t="s">
        <v>771</v>
      </c>
      <c r="C150" s="12" t="s">
        <v>367</v>
      </c>
      <c r="D150" s="12"/>
      <c r="E150" s="12"/>
    </row>
    <row r="151" customFormat="1" customHeight="1" spans="1:5">
      <c r="A151" s="13" t="s">
        <v>380</v>
      </c>
      <c r="B151" s="11" t="s">
        <v>772</v>
      </c>
      <c r="C151" s="13" t="s">
        <v>367</v>
      </c>
      <c r="D151" s="13"/>
      <c r="E151" s="13"/>
    </row>
    <row r="152" customFormat="1" customHeight="1" spans="1:5">
      <c r="A152" s="12" t="s">
        <v>389</v>
      </c>
      <c r="B152" s="11" t="s">
        <v>773</v>
      </c>
      <c r="C152" s="12" t="s">
        <v>367</v>
      </c>
      <c r="D152" s="12"/>
      <c r="E152" s="12"/>
    </row>
    <row r="153" customFormat="1" customHeight="1" spans="1:5">
      <c r="A153" s="6" t="s">
        <v>394</v>
      </c>
      <c r="B153" s="11" t="s">
        <v>774</v>
      </c>
      <c r="C153" s="6" t="s">
        <v>367</v>
      </c>
      <c r="D153" s="6"/>
      <c r="E153" s="6"/>
    </row>
    <row r="154" customFormat="1" customHeight="1" spans="1:5">
      <c r="A154" s="6" t="s">
        <v>398</v>
      </c>
      <c r="B154" s="11" t="s">
        <v>775</v>
      </c>
      <c r="C154" s="6" t="s">
        <v>367</v>
      </c>
      <c r="D154" s="6"/>
      <c r="E154" s="6"/>
    </row>
    <row r="155" customFormat="1" customHeight="1" spans="1:5">
      <c r="A155" s="6" t="s">
        <v>402</v>
      </c>
      <c r="B155" s="11" t="s">
        <v>776</v>
      </c>
      <c r="C155" s="6" t="s">
        <v>367</v>
      </c>
      <c r="D155" s="6"/>
      <c r="E155" s="6"/>
    </row>
    <row r="156" customFormat="1" customHeight="1" spans="1:5">
      <c r="A156" s="6" t="s">
        <v>405</v>
      </c>
      <c r="B156" s="11" t="s">
        <v>777</v>
      </c>
      <c r="C156" s="6" t="s">
        <v>367</v>
      </c>
      <c r="D156" s="6"/>
      <c r="E156" s="6"/>
    </row>
    <row r="157" customFormat="1" customHeight="1" spans="1:5">
      <c r="A157" s="6" t="s">
        <v>409</v>
      </c>
      <c r="B157" s="11" t="s">
        <v>778</v>
      </c>
      <c r="C157" s="6" t="s">
        <v>367</v>
      </c>
      <c r="D157" s="6"/>
      <c r="E157" s="6"/>
    </row>
    <row r="158" customFormat="1" customHeight="1" spans="1:5">
      <c r="A158" s="6" t="s">
        <v>415</v>
      </c>
      <c r="B158" s="11" t="s">
        <v>779</v>
      </c>
      <c r="C158" s="6" t="s">
        <v>367</v>
      </c>
      <c r="D158" s="6"/>
      <c r="E158" s="6"/>
    </row>
    <row r="159" customFormat="1" customHeight="1" spans="1:5">
      <c r="A159" s="6" t="s">
        <v>417</v>
      </c>
      <c r="B159" s="11" t="s">
        <v>780</v>
      </c>
      <c r="C159" s="6" t="s">
        <v>367</v>
      </c>
      <c r="D159" s="6"/>
      <c r="E159" s="6"/>
    </row>
    <row r="160" customFormat="1" customHeight="1" spans="1:5">
      <c r="A160" s="6" t="s">
        <v>423</v>
      </c>
      <c r="B160" s="11" t="s">
        <v>781</v>
      </c>
      <c r="C160" s="6" t="s">
        <v>367</v>
      </c>
      <c r="D160" s="6"/>
      <c r="E160" s="6"/>
    </row>
    <row r="161" customFormat="1" customHeight="1" spans="1:5">
      <c r="A161" s="6" t="s">
        <v>427</v>
      </c>
      <c r="B161" s="11" t="s">
        <v>782</v>
      </c>
      <c r="C161" s="6" t="s">
        <v>367</v>
      </c>
      <c r="D161" s="6"/>
      <c r="E161" s="6"/>
    </row>
    <row r="162" customFormat="1" customHeight="1" spans="1:5">
      <c r="A162" s="6" t="s">
        <v>432</v>
      </c>
      <c r="B162" s="11" t="s">
        <v>783</v>
      </c>
      <c r="C162" s="6" t="s">
        <v>367</v>
      </c>
      <c r="D162" s="6"/>
      <c r="E162" s="6"/>
    </row>
    <row r="163" customFormat="1" customHeight="1" spans="1:5">
      <c r="A163" s="6" t="s">
        <v>436</v>
      </c>
      <c r="B163" s="11" t="s">
        <v>784</v>
      </c>
      <c r="C163" s="6" t="s">
        <v>367</v>
      </c>
      <c r="D163" s="6"/>
      <c r="E163" s="6"/>
    </row>
    <row r="164" customFormat="1" customHeight="1" spans="1:5">
      <c r="A164" s="6" t="s">
        <v>440</v>
      </c>
      <c r="B164" s="11" t="s">
        <v>785</v>
      </c>
      <c r="C164" s="6" t="s">
        <v>367</v>
      </c>
      <c r="D164" s="6"/>
      <c r="E164" s="6"/>
    </row>
    <row r="165" customFormat="1" customHeight="1" spans="1:5">
      <c r="A165" s="6" t="s">
        <v>445</v>
      </c>
      <c r="B165" s="11" t="s">
        <v>786</v>
      </c>
      <c r="C165" s="6" t="s">
        <v>367</v>
      </c>
      <c r="D165" s="6"/>
      <c r="E165" s="6"/>
    </row>
    <row r="166" customFormat="1" customHeight="1" spans="1:5">
      <c r="A166" s="6" t="s">
        <v>449</v>
      </c>
      <c r="B166" s="11" t="s">
        <v>787</v>
      </c>
      <c r="C166" s="6" t="s">
        <v>367</v>
      </c>
      <c r="D166" s="6"/>
      <c r="E166" s="6"/>
    </row>
    <row r="167" customFormat="1" customHeight="1" spans="1:5">
      <c r="A167" s="6" t="s">
        <v>452</v>
      </c>
      <c r="B167" s="11" t="s">
        <v>788</v>
      </c>
      <c r="C167" s="6" t="s">
        <v>367</v>
      </c>
      <c r="D167" s="6"/>
      <c r="E167" s="6"/>
    </row>
    <row r="168" customFormat="1" customHeight="1" spans="1:5">
      <c r="A168" s="6" t="s">
        <v>457</v>
      </c>
      <c r="B168" s="11" t="s">
        <v>789</v>
      </c>
      <c r="C168" s="6" t="s">
        <v>367</v>
      </c>
      <c r="D168" s="6"/>
      <c r="E168" s="6"/>
    </row>
    <row r="169" customFormat="1" customHeight="1" spans="1:5">
      <c r="A169" s="6" t="s">
        <v>461</v>
      </c>
      <c r="B169" s="11" t="s">
        <v>790</v>
      </c>
      <c r="C169" s="6" t="s">
        <v>367</v>
      </c>
      <c r="D169" s="6"/>
      <c r="E169" s="6"/>
    </row>
    <row r="170" customFormat="1" customHeight="1" spans="1:5">
      <c r="A170" s="6" t="s">
        <v>465</v>
      </c>
      <c r="B170" s="11" t="s">
        <v>791</v>
      </c>
      <c r="C170" s="6" t="s">
        <v>367</v>
      </c>
      <c r="D170" s="6"/>
      <c r="E170" s="6"/>
    </row>
    <row r="171" customFormat="1" customHeight="1" spans="1:5">
      <c r="A171" s="6" t="s">
        <v>470</v>
      </c>
      <c r="B171" s="11" t="s">
        <v>792</v>
      </c>
      <c r="C171" s="6" t="s">
        <v>367</v>
      </c>
      <c r="D171" s="6"/>
      <c r="E171" s="6"/>
    </row>
    <row r="172" customFormat="1" customHeight="1" spans="1:5">
      <c r="A172" s="6" t="s">
        <v>473</v>
      </c>
      <c r="B172" s="11" t="s">
        <v>793</v>
      </c>
      <c r="C172" s="6" t="s">
        <v>367</v>
      </c>
      <c r="D172" s="6"/>
      <c r="E172" s="6"/>
    </row>
    <row r="173" customFormat="1" customHeight="1" spans="1:5">
      <c r="A173" s="6" t="s">
        <v>475</v>
      </c>
      <c r="B173" s="11" t="s">
        <v>794</v>
      </c>
      <c r="C173" s="6" t="s">
        <v>367</v>
      </c>
      <c r="D173" s="6"/>
      <c r="E173" s="6"/>
    </row>
    <row r="174" customFormat="1" customHeight="1" spans="1:5">
      <c r="A174" s="6" t="s">
        <v>480</v>
      </c>
      <c r="B174" s="11" t="s">
        <v>795</v>
      </c>
      <c r="C174" s="6" t="s">
        <v>367</v>
      </c>
      <c r="D174" s="6"/>
      <c r="E174" s="6"/>
    </row>
    <row r="175" customFormat="1" customHeight="1" spans="1:5">
      <c r="A175" s="6" t="s">
        <v>485</v>
      </c>
      <c r="B175" s="11" t="s">
        <v>796</v>
      </c>
      <c r="C175" s="6" t="s">
        <v>367</v>
      </c>
      <c r="D175" s="6"/>
      <c r="E175" s="6"/>
    </row>
    <row r="176" customFormat="1" customHeight="1" spans="1:5">
      <c r="A176" s="6" t="s">
        <v>490</v>
      </c>
      <c r="B176" s="11" t="s">
        <v>797</v>
      </c>
      <c r="C176" s="6" t="s">
        <v>367</v>
      </c>
      <c r="D176" s="6"/>
      <c r="E176" s="6"/>
    </row>
    <row r="177" customFormat="1" customHeight="1" spans="1:5">
      <c r="A177" s="6" t="s">
        <v>495</v>
      </c>
      <c r="B177" s="11" t="s">
        <v>798</v>
      </c>
      <c r="C177" s="6" t="s">
        <v>367</v>
      </c>
      <c r="D177" s="6"/>
      <c r="E177" s="6"/>
    </row>
    <row r="178" customFormat="1" customHeight="1" spans="1:5">
      <c r="A178" s="6" t="s">
        <v>504</v>
      </c>
      <c r="B178" s="11" t="s">
        <v>799</v>
      </c>
      <c r="C178" s="6" t="s">
        <v>367</v>
      </c>
      <c r="D178" s="6"/>
      <c r="E178" s="6"/>
    </row>
    <row r="179" customFormat="1" customHeight="1" spans="1:5">
      <c r="A179" s="6" t="s">
        <v>508</v>
      </c>
      <c r="B179" s="11" t="s">
        <v>800</v>
      </c>
      <c r="C179" s="6" t="s">
        <v>367</v>
      </c>
      <c r="D179" s="6"/>
      <c r="E179" s="6"/>
    </row>
    <row r="180" customFormat="1" customHeight="1" spans="1:5">
      <c r="A180" s="6" t="s">
        <v>512</v>
      </c>
      <c r="B180" s="11" t="s">
        <v>801</v>
      </c>
      <c r="C180" s="6" t="s">
        <v>367</v>
      </c>
      <c r="D180" s="6"/>
      <c r="E180" s="6"/>
    </row>
    <row r="181" customFormat="1" customHeight="1" spans="1:5">
      <c r="A181" s="6" t="s">
        <v>517</v>
      </c>
      <c r="B181" s="11" t="s">
        <v>802</v>
      </c>
      <c r="C181" s="6" t="s">
        <v>367</v>
      </c>
      <c r="D181" s="6"/>
      <c r="E181" s="6"/>
    </row>
    <row r="182" customFormat="1" customHeight="1" spans="1:5">
      <c r="A182" s="6" t="s">
        <v>520</v>
      </c>
      <c r="B182" s="11" t="s">
        <v>803</v>
      </c>
      <c r="C182" s="6" t="s">
        <v>367</v>
      </c>
      <c r="D182" s="6"/>
      <c r="E182" s="6"/>
    </row>
    <row r="183" customFormat="1" customHeight="1" spans="1:5">
      <c r="A183" s="6" t="s">
        <v>523</v>
      </c>
      <c r="B183" s="11" t="s">
        <v>804</v>
      </c>
      <c r="C183" s="6" t="s">
        <v>367</v>
      </c>
      <c r="D183" s="6"/>
      <c r="E183" s="6"/>
    </row>
    <row r="184" customFormat="1" customHeight="1" spans="1:5">
      <c r="A184" s="6" t="s">
        <v>528</v>
      </c>
      <c r="B184" s="11" t="s">
        <v>805</v>
      </c>
      <c r="C184" s="6" t="s">
        <v>367</v>
      </c>
      <c r="D184" s="6"/>
      <c r="E184" s="6"/>
    </row>
    <row r="185" customFormat="1" customHeight="1" spans="1:5">
      <c r="A185" s="6" t="s">
        <v>531</v>
      </c>
      <c r="B185" s="11" t="s">
        <v>806</v>
      </c>
      <c r="C185" s="6" t="s">
        <v>367</v>
      </c>
      <c r="D185" s="6"/>
      <c r="E185" s="6"/>
    </row>
    <row r="186" customFormat="1" customHeight="1" spans="1:5">
      <c r="A186" s="6" t="s">
        <v>535</v>
      </c>
      <c r="B186" s="11" t="s">
        <v>807</v>
      </c>
      <c r="C186" s="6" t="s">
        <v>367</v>
      </c>
      <c r="D186" s="6"/>
      <c r="E186" s="6"/>
    </row>
    <row r="187" customFormat="1" customHeight="1" spans="1:5">
      <c r="A187" s="6" t="s">
        <v>539</v>
      </c>
      <c r="B187" s="11" t="s">
        <v>808</v>
      </c>
      <c r="C187" s="6" t="s">
        <v>367</v>
      </c>
      <c r="D187" s="6"/>
      <c r="E187" s="6"/>
    </row>
    <row r="188" customFormat="1" customHeight="1" spans="1:5">
      <c r="A188" s="6" t="s">
        <v>542</v>
      </c>
      <c r="B188" s="11" t="s">
        <v>809</v>
      </c>
      <c r="C188" s="6" t="s">
        <v>367</v>
      </c>
      <c r="D188" s="6"/>
      <c r="E188" s="6"/>
    </row>
    <row r="189" customFormat="1" customHeight="1" spans="1:5">
      <c r="A189" s="4" t="s">
        <v>810</v>
      </c>
      <c r="B189" s="11" t="s">
        <v>811</v>
      </c>
      <c r="C189" s="4" t="s">
        <v>333</v>
      </c>
      <c r="D189" s="4"/>
      <c r="E189" s="4"/>
    </row>
    <row r="190" customFormat="1" customHeight="1" spans="1:5">
      <c r="A190" s="4" t="s">
        <v>812</v>
      </c>
      <c r="B190" s="11" t="s">
        <v>813</v>
      </c>
      <c r="C190" s="4" t="s">
        <v>333</v>
      </c>
      <c r="D190" s="4"/>
      <c r="E190" s="4"/>
    </row>
    <row r="191" customFormat="1" customHeight="1" spans="1:5">
      <c r="A191" s="4" t="s">
        <v>814</v>
      </c>
      <c r="B191" s="11" t="s">
        <v>815</v>
      </c>
      <c r="C191" s="4" t="s">
        <v>333</v>
      </c>
      <c r="D191" s="4"/>
      <c r="E191" s="4"/>
    </row>
    <row r="192" customFormat="1" customHeight="1" spans="1:5">
      <c r="A192" s="4" t="s">
        <v>816</v>
      </c>
      <c r="B192" s="11" t="s">
        <v>817</v>
      </c>
      <c r="C192" s="4" t="s">
        <v>333</v>
      </c>
      <c r="D192" s="4"/>
      <c r="E192" s="4"/>
    </row>
    <row r="193" customFormat="1" customHeight="1" spans="1:5">
      <c r="A193" s="4" t="s">
        <v>818</v>
      </c>
      <c r="B193" s="11" t="s">
        <v>819</v>
      </c>
      <c r="C193" s="4" t="s">
        <v>333</v>
      </c>
      <c r="D193" s="4"/>
      <c r="E193" s="4"/>
    </row>
    <row r="194" customFormat="1" customHeight="1" spans="1:5">
      <c r="A194" s="4" t="s">
        <v>820</v>
      </c>
      <c r="B194" s="11" t="s">
        <v>821</v>
      </c>
      <c r="C194" s="4" t="s">
        <v>333</v>
      </c>
      <c r="D194" s="4"/>
      <c r="E194" s="4"/>
    </row>
    <row r="195" customFormat="1" customHeight="1" spans="1:5">
      <c r="A195" s="4" t="s">
        <v>822</v>
      </c>
      <c r="B195" s="11" t="s">
        <v>823</v>
      </c>
      <c r="C195" s="4" t="s">
        <v>333</v>
      </c>
      <c r="D195" s="4"/>
      <c r="E195" s="4"/>
    </row>
    <row r="196" customFormat="1" customHeight="1" spans="1:5">
      <c r="A196" s="4" t="s">
        <v>824</v>
      </c>
      <c r="B196" s="11" t="s">
        <v>825</v>
      </c>
      <c r="C196" s="4" t="s">
        <v>333</v>
      </c>
      <c r="D196" s="4"/>
      <c r="E196" s="4"/>
    </row>
    <row r="197" customFormat="1" customHeight="1" spans="1:5">
      <c r="A197" s="4" t="s">
        <v>826</v>
      </c>
      <c r="B197" s="11" t="s">
        <v>827</v>
      </c>
      <c r="C197" s="4" t="s">
        <v>333</v>
      </c>
      <c r="D197" s="4"/>
      <c r="E197" s="4"/>
    </row>
    <row r="198" customFormat="1" customHeight="1" spans="1:5">
      <c r="A198" s="4" t="s">
        <v>828</v>
      </c>
      <c r="B198" s="11" t="s">
        <v>829</v>
      </c>
      <c r="C198" s="4" t="s">
        <v>333</v>
      </c>
      <c r="D198" s="4"/>
      <c r="E198" s="4"/>
    </row>
    <row r="199" customFormat="1" customHeight="1" spans="1:5">
      <c r="A199" s="4" t="s">
        <v>830</v>
      </c>
      <c r="B199" s="11" t="s">
        <v>831</v>
      </c>
      <c r="C199" s="4" t="s">
        <v>333</v>
      </c>
      <c r="D199" s="4"/>
      <c r="E199" s="4"/>
    </row>
    <row r="200" customFormat="1" customHeight="1" spans="1:5">
      <c r="A200" s="4" t="s">
        <v>832</v>
      </c>
      <c r="B200" s="11" t="s">
        <v>833</v>
      </c>
      <c r="C200" s="4" t="s">
        <v>333</v>
      </c>
      <c r="D200" s="4"/>
      <c r="E200" s="4"/>
    </row>
    <row r="201" customFormat="1" customHeight="1" spans="1:5">
      <c r="A201" s="4" t="s">
        <v>834</v>
      </c>
      <c r="B201" s="11" t="s">
        <v>835</v>
      </c>
      <c r="C201" s="4" t="s">
        <v>333</v>
      </c>
      <c r="D201" s="4"/>
      <c r="E201" s="4"/>
    </row>
    <row r="202" customFormat="1" customHeight="1" spans="1:5">
      <c r="A202" s="4" t="s">
        <v>836</v>
      </c>
      <c r="B202" s="11" t="s">
        <v>837</v>
      </c>
      <c r="C202" s="4" t="s">
        <v>333</v>
      </c>
      <c r="D202" s="4"/>
      <c r="E202" s="4"/>
    </row>
  </sheetData>
  <conditionalFormatting sqref="B1">
    <cfRule type="duplicateValues" dxfId="0" priority="5"/>
  </conditionalFormatting>
  <conditionalFormatting sqref="C1">
    <cfRule type="duplicateValues" dxfId="0" priority="4"/>
  </conditionalFormatting>
  <conditionalFormatting sqref="A4:A148">
    <cfRule type="duplicateValues" dxfId="0" priority="9"/>
  </conditionalFormatting>
  <conditionalFormatting sqref="A189:A202">
    <cfRule type="duplicateValues" dxfId="0" priority="6"/>
  </conditionalFormatting>
  <conditionalFormatting sqref="B4:B187">
    <cfRule type="duplicateValues" dxfId="0" priority="10"/>
  </conditionalFormatting>
  <conditionalFormatting sqref="B188:B202">
    <cfRule type="duplicateValues" dxfId="0" priority="7"/>
  </conditionalFormatting>
  <conditionalFormatting sqref="D4:D148">
    <cfRule type="duplicateValues" dxfId="0" priority="8"/>
  </conditionalFormatting>
  <conditionalFormatting sqref="D189:D202">
    <cfRule type="duplicateValues" dxfId="0" priority="3"/>
  </conditionalFormatting>
  <conditionalFormatting sqref="E4:E148">
    <cfRule type="duplicateValues" dxfId="0" priority="2"/>
  </conditionalFormatting>
  <conditionalFormatting sqref="E189:E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2022-11-11T02:03:53Z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2052-11.1.0.12763</vt:lpwstr>
  </property>
</Properties>
</file>